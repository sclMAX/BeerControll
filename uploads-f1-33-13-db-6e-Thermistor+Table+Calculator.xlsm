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20" yWindow="60" windowWidth="23256" windowHeight="12840" activeTab="2"/>
  </bookViews>
  <sheets>
    <sheet name="1 ThermistorTableConversion" sheetId="1" r:id="rId1"/>
    <sheet name="1 Instructions &amp; example" sheetId="10" r:id="rId2"/>
    <sheet name="2 Thermistor from Beta" sheetId="13" r:id="rId3"/>
    <sheet name="2 Instructions &amp; Example" sheetId="24" r:id="rId4"/>
    <sheet name="3 Thermistor from SteinhartHart" sheetId="12" r:id="rId5"/>
    <sheet name="3 Instructions and examples" sheetId="25" r:id="rId6"/>
    <sheet name="Comparison Chart" sheetId="15" r:id="rId7"/>
    <sheet name="Comparison Chart (2)" sheetId="16" r:id="rId8"/>
  </sheets>
  <calcPr calcId="145621"/>
  <fileRecoveryPr repairLoad="1"/>
</workbook>
</file>

<file path=xl/calcChain.xml><?xml version="1.0" encoding="utf-8"?>
<calcChain xmlns="http://schemas.openxmlformats.org/spreadsheetml/2006/main">
  <c r="H10" i="12" l="1"/>
  <c r="G10" i="12"/>
  <c r="F12" i="12"/>
  <c r="F11" i="12"/>
  <c r="F10" i="12"/>
  <c r="G70" i="12"/>
  <c r="H70" i="12" s="1"/>
  <c r="F70" i="12"/>
  <c r="F69" i="12"/>
  <c r="G69" i="12" s="1"/>
  <c r="H69" i="12" s="1"/>
  <c r="G68" i="12"/>
  <c r="H68" i="12" s="1"/>
  <c r="F68" i="12"/>
  <c r="F67" i="12"/>
  <c r="G67" i="12" s="1"/>
  <c r="H67" i="12" s="1"/>
  <c r="G66" i="12"/>
  <c r="H66" i="12" s="1"/>
  <c r="F66" i="12"/>
  <c r="F65" i="12"/>
  <c r="G65" i="12" s="1"/>
  <c r="H65" i="12" s="1"/>
  <c r="G64" i="12"/>
  <c r="H64" i="12" s="1"/>
  <c r="F64" i="12"/>
  <c r="F63" i="12"/>
  <c r="G63" i="12" s="1"/>
  <c r="H63" i="12" s="1"/>
  <c r="G62" i="12"/>
  <c r="H62" i="12" s="1"/>
  <c r="F62" i="12"/>
  <c r="F61" i="12"/>
  <c r="G61" i="12" s="1"/>
  <c r="H61" i="12" s="1"/>
  <c r="G60" i="12"/>
  <c r="H60" i="12" s="1"/>
  <c r="F60" i="12"/>
  <c r="F59" i="12"/>
  <c r="G59" i="12" s="1"/>
  <c r="H59" i="12" s="1"/>
  <c r="G58" i="12"/>
  <c r="H58" i="12" s="1"/>
  <c r="F58" i="12"/>
  <c r="F57" i="12"/>
  <c r="G57" i="12" s="1"/>
  <c r="H57" i="12" s="1"/>
  <c r="G56" i="12"/>
  <c r="H56" i="12" s="1"/>
  <c r="F56" i="12"/>
  <c r="F55" i="12"/>
  <c r="G55" i="12" s="1"/>
  <c r="H55" i="12" s="1"/>
  <c r="G54" i="12"/>
  <c r="H54" i="12" s="1"/>
  <c r="F54" i="12"/>
  <c r="F53" i="12"/>
  <c r="G53" i="12" s="1"/>
  <c r="H53" i="12" s="1"/>
  <c r="G52" i="12"/>
  <c r="H52" i="12" s="1"/>
  <c r="F52" i="12"/>
  <c r="F51" i="12"/>
  <c r="G51" i="12" s="1"/>
  <c r="H51" i="12" s="1"/>
  <c r="G50" i="12"/>
  <c r="H50" i="12" s="1"/>
  <c r="F50" i="12"/>
  <c r="F49" i="12"/>
  <c r="G49" i="12" s="1"/>
  <c r="H49" i="12" s="1"/>
  <c r="G48" i="12"/>
  <c r="H48" i="12" s="1"/>
  <c r="F48" i="12"/>
  <c r="F47" i="12"/>
  <c r="G47" i="12" s="1"/>
  <c r="H47" i="12" s="1"/>
  <c r="G46" i="12"/>
  <c r="H46" i="12" s="1"/>
  <c r="F46" i="12"/>
  <c r="F45" i="12"/>
  <c r="G45" i="12" s="1"/>
  <c r="H45" i="12" s="1"/>
  <c r="G44" i="12"/>
  <c r="H44" i="12" s="1"/>
  <c r="F44" i="12"/>
  <c r="F43" i="12"/>
  <c r="G43" i="12" s="1"/>
  <c r="H43" i="12" s="1"/>
  <c r="G42" i="12"/>
  <c r="H42" i="12" s="1"/>
  <c r="F42" i="12"/>
  <c r="F41" i="12"/>
  <c r="G41" i="12" s="1"/>
  <c r="H41" i="12" s="1"/>
  <c r="G40" i="12"/>
  <c r="H40" i="12" s="1"/>
  <c r="F40" i="12"/>
  <c r="F39" i="12"/>
  <c r="G39" i="12" s="1"/>
  <c r="H39" i="12" s="1"/>
  <c r="G38" i="12"/>
  <c r="H38" i="12" s="1"/>
  <c r="F38" i="12"/>
  <c r="F37" i="12"/>
  <c r="G37" i="12" s="1"/>
  <c r="H37" i="12" s="1"/>
  <c r="G36" i="12"/>
  <c r="H36" i="12" s="1"/>
  <c r="F36" i="12"/>
  <c r="F35" i="12"/>
  <c r="G35" i="12" s="1"/>
  <c r="H35" i="12" s="1"/>
  <c r="G34" i="12"/>
  <c r="H34" i="12" s="1"/>
  <c r="F34" i="12"/>
  <c r="F33" i="12"/>
  <c r="G33" i="12" s="1"/>
  <c r="H33" i="12" s="1"/>
  <c r="G32" i="12"/>
  <c r="H32" i="12" s="1"/>
  <c r="F32" i="12"/>
  <c r="F31" i="12"/>
  <c r="G31" i="12" s="1"/>
  <c r="H31" i="12" s="1"/>
  <c r="G30" i="12"/>
  <c r="H30" i="12" s="1"/>
  <c r="F30" i="12"/>
  <c r="F29" i="12"/>
  <c r="G29" i="12" s="1"/>
  <c r="H29" i="12" s="1"/>
  <c r="G28" i="12"/>
  <c r="H28" i="12" s="1"/>
  <c r="F28" i="12"/>
  <c r="F27" i="12"/>
  <c r="G27" i="12" s="1"/>
  <c r="H27" i="12" s="1"/>
  <c r="G26" i="12"/>
  <c r="H26" i="12" s="1"/>
  <c r="F26" i="12"/>
  <c r="F25" i="12"/>
  <c r="G25" i="12" s="1"/>
  <c r="H25" i="12" s="1"/>
  <c r="G24" i="12"/>
  <c r="H24" i="12" s="1"/>
  <c r="F24" i="12"/>
  <c r="F23" i="12"/>
  <c r="G23" i="12" s="1"/>
  <c r="H23" i="12" s="1"/>
  <c r="G22" i="12"/>
  <c r="H22" i="12" s="1"/>
  <c r="F22" i="12"/>
  <c r="F21" i="12"/>
  <c r="G21" i="12" s="1"/>
  <c r="H21" i="12" s="1"/>
  <c r="G20" i="12"/>
  <c r="H20" i="12" s="1"/>
  <c r="F20" i="12"/>
  <c r="F19" i="12"/>
  <c r="G19" i="12" s="1"/>
  <c r="H19" i="12" s="1"/>
  <c r="G18" i="12"/>
  <c r="H18" i="12" s="1"/>
  <c r="F18" i="12"/>
  <c r="F17" i="12"/>
  <c r="G17" i="12" s="1"/>
  <c r="H17" i="12" s="1"/>
  <c r="G16" i="12"/>
  <c r="H16" i="12" s="1"/>
  <c r="F16" i="12"/>
  <c r="F15" i="12"/>
  <c r="G15" i="12" s="1"/>
  <c r="H15" i="12" s="1"/>
  <c r="G14" i="12"/>
  <c r="H14" i="12" s="1"/>
  <c r="F14" i="12"/>
  <c r="F13" i="12"/>
  <c r="G13" i="12" s="1"/>
  <c r="H13" i="12" s="1"/>
  <c r="G12" i="12"/>
  <c r="H12" i="12" s="1"/>
  <c r="H11" i="12"/>
  <c r="G11" i="12"/>
  <c r="K3" i="12"/>
  <c r="K2" i="12"/>
  <c r="K4" i="12"/>
  <c r="B11" i="12"/>
  <c r="B12" i="12"/>
  <c r="B13" i="12"/>
  <c r="B14" i="12"/>
  <c r="B15" i="12"/>
  <c r="B16" i="12"/>
  <c r="B17" i="12"/>
  <c r="B18" i="12"/>
  <c r="B19" i="12"/>
  <c r="B20"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10" i="12"/>
  <c r="J4" i="12"/>
  <c r="J3" i="12"/>
  <c r="J2" i="12"/>
  <c r="N6" i="12" l="1"/>
  <c r="N3" i="12"/>
  <c r="N5" i="12"/>
  <c r="N7" i="12"/>
  <c r="N2" i="12"/>
  <c r="N4" i="12"/>
  <c r="B9" i="13"/>
  <c r="B10" i="13"/>
  <c r="B11" i="13"/>
  <c r="B12" i="13"/>
  <c r="B13" i="13"/>
  <c r="B14" i="13"/>
  <c r="B15" i="13"/>
  <c r="B16" i="13"/>
  <c r="B17" i="13"/>
  <c r="B18" i="13"/>
  <c r="B19" i="13"/>
  <c r="B20" i="13"/>
  <c r="B21" i="13"/>
  <c r="B22" i="13"/>
  <c r="B23" i="13"/>
  <c r="B24" i="13"/>
  <c r="B25" i="13"/>
  <c r="B26" i="13"/>
  <c r="C26" i="13" s="1"/>
  <c r="D26" i="13" s="1"/>
  <c r="E26" i="13" s="1"/>
  <c r="F26" i="13" s="1"/>
  <c r="B27" i="13"/>
  <c r="B28" i="13"/>
  <c r="B29" i="13"/>
  <c r="B30" i="13"/>
  <c r="B31" i="13"/>
  <c r="B32" i="13"/>
  <c r="B33" i="13"/>
  <c r="B34" i="13"/>
  <c r="B35" i="13"/>
  <c r="B36" i="13"/>
  <c r="B37" i="13"/>
  <c r="B38" i="13"/>
  <c r="B39" i="13"/>
  <c r="B40" i="13"/>
  <c r="B41" i="13"/>
  <c r="B42" i="13"/>
  <c r="C42" i="13" s="1"/>
  <c r="D42" i="13" s="1"/>
  <c r="E42" i="13" s="1"/>
  <c r="F42" i="13" s="1"/>
  <c r="B43" i="13"/>
  <c r="B44" i="13"/>
  <c r="B45" i="13"/>
  <c r="B46" i="13"/>
  <c r="B47" i="13"/>
  <c r="B48" i="13"/>
  <c r="B49" i="13"/>
  <c r="B50" i="13"/>
  <c r="B51" i="13"/>
  <c r="B52" i="13"/>
  <c r="B53" i="13"/>
  <c r="B54" i="13"/>
  <c r="B55" i="13"/>
  <c r="B56" i="13"/>
  <c r="B57" i="13"/>
  <c r="B58" i="13"/>
  <c r="B59" i="13"/>
  <c r="B60" i="13"/>
  <c r="B61" i="13"/>
  <c r="C61" i="13" s="1"/>
  <c r="D61" i="13" s="1"/>
  <c r="E61" i="13" s="1"/>
  <c r="F61" i="13" s="1"/>
  <c r="B62" i="13"/>
  <c r="B63" i="13"/>
  <c r="B64" i="13"/>
  <c r="B65" i="13"/>
  <c r="B66" i="13"/>
  <c r="B67" i="13"/>
  <c r="B68" i="13"/>
  <c r="B8" i="13"/>
  <c r="D4" i="13"/>
  <c r="D2" i="13"/>
  <c r="C10" i="13" s="1"/>
  <c r="D10" i="13" s="1"/>
  <c r="E10" i="13" s="1"/>
  <c r="F10" i="13" s="1"/>
  <c r="C65" i="13" l="1"/>
  <c r="D65" i="13" s="1"/>
  <c r="E65" i="13" s="1"/>
  <c r="F65" i="13" s="1"/>
  <c r="C63" i="13"/>
  <c r="D63" i="13" s="1"/>
  <c r="E63" i="13" s="1"/>
  <c r="F63" i="13" s="1"/>
  <c r="C60" i="13"/>
  <c r="D60" i="13" s="1"/>
  <c r="E60" i="13" s="1"/>
  <c r="F60" i="13" s="1"/>
  <c r="C46" i="13"/>
  <c r="D46" i="13" s="1"/>
  <c r="E46" i="13" s="1"/>
  <c r="F46" i="13" s="1"/>
  <c r="C44" i="13"/>
  <c r="D44" i="13" s="1"/>
  <c r="E44" i="13" s="1"/>
  <c r="F44" i="13" s="1"/>
  <c r="C41" i="13"/>
  <c r="D41" i="13" s="1"/>
  <c r="E41" i="13" s="1"/>
  <c r="F41" i="13" s="1"/>
  <c r="C30" i="13"/>
  <c r="D30" i="13" s="1"/>
  <c r="E30" i="13" s="1"/>
  <c r="F30" i="13" s="1"/>
  <c r="C28" i="13"/>
  <c r="D28" i="13" s="1"/>
  <c r="E28" i="13" s="1"/>
  <c r="F28" i="13" s="1"/>
  <c r="C25" i="13"/>
  <c r="D25" i="13" s="1"/>
  <c r="E25" i="13" s="1"/>
  <c r="F25" i="13" s="1"/>
  <c r="C68" i="13"/>
  <c r="D68" i="13" s="1"/>
  <c r="E68" i="13" s="1"/>
  <c r="F68" i="13" s="1"/>
  <c r="C57" i="13"/>
  <c r="D57" i="13" s="1"/>
  <c r="E57" i="13" s="1"/>
  <c r="F57" i="13" s="1"/>
  <c r="C55" i="13"/>
  <c r="D55" i="13" s="1"/>
  <c r="E55" i="13" s="1"/>
  <c r="F55" i="13" s="1"/>
  <c r="C53" i="13"/>
  <c r="D53" i="13" s="1"/>
  <c r="E53" i="13" s="1"/>
  <c r="F53" i="13" s="1"/>
  <c r="C52" i="13"/>
  <c r="D52" i="13" s="1"/>
  <c r="E52" i="13" s="1"/>
  <c r="F52" i="13" s="1"/>
  <c r="C50" i="13"/>
  <c r="D50" i="13" s="1"/>
  <c r="E50" i="13" s="1"/>
  <c r="F50" i="13" s="1"/>
  <c r="C49" i="13"/>
  <c r="D49" i="13" s="1"/>
  <c r="E49" i="13" s="1"/>
  <c r="F49" i="13" s="1"/>
  <c r="C38" i="13"/>
  <c r="D38" i="13" s="1"/>
  <c r="E38" i="13" s="1"/>
  <c r="F38" i="13" s="1"/>
  <c r="C36" i="13"/>
  <c r="D36" i="13" s="1"/>
  <c r="E36" i="13" s="1"/>
  <c r="F36" i="13" s="1"/>
  <c r="C34" i="13"/>
  <c r="D34" i="13" s="1"/>
  <c r="E34" i="13" s="1"/>
  <c r="F34" i="13" s="1"/>
  <c r="C33" i="13"/>
  <c r="D33" i="13" s="1"/>
  <c r="E33" i="13" s="1"/>
  <c r="F33" i="13" s="1"/>
  <c r="C22" i="13"/>
  <c r="D22" i="13" s="1"/>
  <c r="E22" i="13" s="1"/>
  <c r="F22" i="13" s="1"/>
  <c r="C20" i="13"/>
  <c r="D20" i="13" s="1"/>
  <c r="E20" i="13" s="1"/>
  <c r="F20" i="13" s="1"/>
  <c r="C18" i="13"/>
  <c r="D18" i="13" s="1"/>
  <c r="E18" i="13" s="1"/>
  <c r="F18" i="13" s="1"/>
  <c r="Q2" i="12"/>
  <c r="C67" i="13"/>
  <c r="D67" i="13" s="1"/>
  <c r="E67" i="13" s="1"/>
  <c r="F67" i="13" s="1"/>
  <c r="C64" i="13"/>
  <c r="D64" i="13" s="1"/>
  <c r="E64" i="13" s="1"/>
  <c r="F64" i="13" s="1"/>
  <c r="C59" i="13"/>
  <c r="D59" i="13" s="1"/>
  <c r="E59" i="13" s="1"/>
  <c r="F59" i="13" s="1"/>
  <c r="C56" i="13"/>
  <c r="D56" i="13" s="1"/>
  <c r="E56" i="13" s="1"/>
  <c r="F56" i="13" s="1"/>
  <c r="C48" i="13"/>
  <c r="D48" i="13" s="1"/>
  <c r="E48" i="13" s="1"/>
  <c r="F48" i="13" s="1"/>
  <c r="C45" i="13"/>
  <c r="D45" i="13" s="1"/>
  <c r="E45" i="13" s="1"/>
  <c r="F45" i="13" s="1"/>
  <c r="C40" i="13"/>
  <c r="D40" i="13" s="1"/>
  <c r="E40" i="13" s="1"/>
  <c r="F40" i="13" s="1"/>
  <c r="C37" i="13"/>
  <c r="D37" i="13" s="1"/>
  <c r="E37" i="13" s="1"/>
  <c r="F37" i="13" s="1"/>
  <c r="C32" i="13"/>
  <c r="D32" i="13" s="1"/>
  <c r="E32" i="13" s="1"/>
  <c r="F32" i="13" s="1"/>
  <c r="C29" i="13"/>
  <c r="D29" i="13" s="1"/>
  <c r="E29" i="13" s="1"/>
  <c r="F29" i="13" s="1"/>
  <c r="C24" i="13"/>
  <c r="D24" i="13" s="1"/>
  <c r="E24" i="13" s="1"/>
  <c r="F24" i="13" s="1"/>
  <c r="C21" i="13"/>
  <c r="D21" i="13" s="1"/>
  <c r="E21" i="13" s="1"/>
  <c r="F21" i="13" s="1"/>
  <c r="C16" i="13"/>
  <c r="D16" i="13" s="1"/>
  <c r="E16" i="13" s="1"/>
  <c r="F16" i="13" s="1"/>
  <c r="C12" i="13"/>
  <c r="D12" i="13" s="1"/>
  <c r="E12" i="13" s="1"/>
  <c r="F12" i="13" s="1"/>
  <c r="C8" i="13"/>
  <c r="D8" i="13" s="1"/>
  <c r="E8" i="13" s="1"/>
  <c r="F8" i="13" s="1"/>
  <c r="C66" i="13"/>
  <c r="D66" i="13" s="1"/>
  <c r="E66" i="13" s="1"/>
  <c r="F66" i="13" s="1"/>
  <c r="C62" i="13"/>
  <c r="D62" i="13" s="1"/>
  <c r="E62" i="13" s="1"/>
  <c r="F62" i="13" s="1"/>
  <c r="C58" i="13"/>
  <c r="D58" i="13" s="1"/>
  <c r="E58" i="13" s="1"/>
  <c r="F58" i="13" s="1"/>
  <c r="C54" i="13"/>
  <c r="D54" i="13" s="1"/>
  <c r="E54" i="13" s="1"/>
  <c r="F54" i="13" s="1"/>
  <c r="C51" i="13"/>
  <c r="D51" i="13" s="1"/>
  <c r="E51" i="13" s="1"/>
  <c r="F51" i="13" s="1"/>
  <c r="C47" i="13"/>
  <c r="D47" i="13" s="1"/>
  <c r="E47" i="13" s="1"/>
  <c r="F47" i="13" s="1"/>
  <c r="C43" i="13"/>
  <c r="D43" i="13" s="1"/>
  <c r="E43" i="13" s="1"/>
  <c r="F43" i="13" s="1"/>
  <c r="C39" i="13"/>
  <c r="D39" i="13" s="1"/>
  <c r="E39" i="13" s="1"/>
  <c r="F39" i="13" s="1"/>
  <c r="C35" i="13"/>
  <c r="D35" i="13" s="1"/>
  <c r="E35" i="13" s="1"/>
  <c r="F35" i="13" s="1"/>
  <c r="C31" i="13"/>
  <c r="D31" i="13" s="1"/>
  <c r="E31" i="13" s="1"/>
  <c r="F31" i="13" s="1"/>
  <c r="C27" i="13"/>
  <c r="D27" i="13" s="1"/>
  <c r="E27" i="13" s="1"/>
  <c r="F27" i="13" s="1"/>
  <c r="C23" i="13"/>
  <c r="D23" i="13" s="1"/>
  <c r="E23" i="13" s="1"/>
  <c r="F23" i="13" s="1"/>
  <c r="C19" i="13"/>
  <c r="D19" i="13" s="1"/>
  <c r="E19" i="13" s="1"/>
  <c r="F19" i="13" s="1"/>
  <c r="C15" i="13"/>
  <c r="D15" i="13" s="1"/>
  <c r="E15" i="13" s="1"/>
  <c r="F15" i="13" s="1"/>
  <c r="C11" i="13"/>
  <c r="D11" i="13" s="1"/>
  <c r="E11" i="13" s="1"/>
  <c r="F11" i="13" s="1"/>
  <c r="C17" i="13"/>
  <c r="D17" i="13" s="1"/>
  <c r="E17" i="13" s="1"/>
  <c r="F17" i="13" s="1"/>
  <c r="C14" i="13"/>
  <c r="D14" i="13" s="1"/>
  <c r="E14" i="13" s="1"/>
  <c r="F14" i="13" s="1"/>
  <c r="C13" i="13"/>
  <c r="D13" i="13" s="1"/>
  <c r="E13" i="13" s="1"/>
  <c r="F13" i="13" s="1"/>
  <c r="C9" i="13"/>
  <c r="D9" i="13" s="1"/>
  <c r="E9" i="13" s="1"/>
  <c r="F9" i="13" s="1"/>
  <c r="B9" i="1"/>
  <c r="C9" i="1" s="1"/>
  <c r="D9" i="1" s="1"/>
  <c r="E9" i="1" s="1"/>
  <c r="B10" i="1"/>
  <c r="B11" i="1"/>
  <c r="B12" i="1"/>
  <c r="C12" i="1" s="1"/>
  <c r="D12" i="1" s="1"/>
  <c r="E12" i="1" s="1"/>
  <c r="B13" i="1"/>
  <c r="C13" i="1" s="1"/>
  <c r="D13" i="1" s="1"/>
  <c r="E13" i="1" s="1"/>
  <c r="B14" i="1"/>
  <c r="C14" i="1" s="1"/>
  <c r="D14" i="1" s="1"/>
  <c r="E14" i="1" s="1"/>
  <c r="B15" i="1"/>
  <c r="B16" i="1"/>
  <c r="C16" i="1" s="1"/>
  <c r="D16" i="1" s="1"/>
  <c r="E16" i="1" s="1"/>
  <c r="B17" i="1"/>
  <c r="C17" i="1" s="1"/>
  <c r="D17" i="1" s="1"/>
  <c r="E17" i="1" s="1"/>
  <c r="B18" i="1"/>
  <c r="C18" i="1" s="1"/>
  <c r="D18" i="1" s="1"/>
  <c r="E18" i="1" s="1"/>
  <c r="B19" i="1"/>
  <c r="B20" i="1"/>
  <c r="C20" i="1" s="1"/>
  <c r="D20" i="1" s="1"/>
  <c r="E20" i="1" s="1"/>
  <c r="B21" i="1"/>
  <c r="C21" i="1" s="1"/>
  <c r="D21" i="1" s="1"/>
  <c r="E21" i="1" s="1"/>
  <c r="B22" i="1"/>
  <c r="C22" i="1" s="1"/>
  <c r="D22" i="1" s="1"/>
  <c r="E22" i="1" s="1"/>
  <c r="B23" i="1"/>
  <c r="B24" i="1"/>
  <c r="C24" i="1" s="1"/>
  <c r="D24" i="1" s="1"/>
  <c r="E24" i="1" s="1"/>
  <c r="B25" i="1"/>
  <c r="C25" i="1" s="1"/>
  <c r="D25" i="1" s="1"/>
  <c r="E25" i="1" s="1"/>
  <c r="B26" i="1"/>
  <c r="B27" i="1"/>
  <c r="B28" i="1"/>
  <c r="C28" i="1" s="1"/>
  <c r="D28" i="1" s="1"/>
  <c r="E28" i="1" s="1"/>
  <c r="B29" i="1"/>
  <c r="C29" i="1" s="1"/>
  <c r="D29" i="1" s="1"/>
  <c r="E29" i="1" s="1"/>
  <c r="B30" i="1"/>
  <c r="C30" i="1" s="1"/>
  <c r="D30" i="1" s="1"/>
  <c r="E30" i="1" s="1"/>
  <c r="B31" i="1"/>
  <c r="C31" i="1" s="1"/>
  <c r="D31" i="1" s="1"/>
  <c r="E31" i="1" s="1"/>
  <c r="B32" i="1"/>
  <c r="C32" i="1" s="1"/>
  <c r="D32" i="1" s="1"/>
  <c r="E32" i="1" s="1"/>
  <c r="B33" i="1"/>
  <c r="C33" i="1" s="1"/>
  <c r="D33" i="1" s="1"/>
  <c r="E33" i="1" s="1"/>
  <c r="B34" i="1"/>
  <c r="C34" i="1" s="1"/>
  <c r="D34" i="1" s="1"/>
  <c r="E34" i="1" s="1"/>
  <c r="B35" i="1"/>
  <c r="C35" i="1" s="1"/>
  <c r="D35" i="1" s="1"/>
  <c r="E35" i="1" s="1"/>
  <c r="B36" i="1"/>
  <c r="C36" i="1" s="1"/>
  <c r="D36" i="1" s="1"/>
  <c r="E36" i="1" s="1"/>
  <c r="B37" i="1"/>
  <c r="C37" i="1" s="1"/>
  <c r="D37" i="1" s="1"/>
  <c r="E37" i="1" s="1"/>
  <c r="B38" i="1"/>
  <c r="C38" i="1" s="1"/>
  <c r="D38" i="1" s="1"/>
  <c r="E38" i="1" s="1"/>
  <c r="B39" i="1"/>
  <c r="C39" i="1" s="1"/>
  <c r="D39" i="1" s="1"/>
  <c r="E39" i="1" s="1"/>
  <c r="B40" i="1"/>
  <c r="C40" i="1" s="1"/>
  <c r="D40" i="1" s="1"/>
  <c r="E40" i="1" s="1"/>
  <c r="B41" i="1"/>
  <c r="C41" i="1" s="1"/>
  <c r="D41" i="1" s="1"/>
  <c r="E41" i="1" s="1"/>
  <c r="B42" i="1"/>
  <c r="C42" i="1" s="1"/>
  <c r="D42" i="1" s="1"/>
  <c r="E42" i="1" s="1"/>
  <c r="B43" i="1"/>
  <c r="C43" i="1" s="1"/>
  <c r="D43" i="1" s="1"/>
  <c r="E43" i="1" s="1"/>
  <c r="B44" i="1"/>
  <c r="C44" i="1" s="1"/>
  <c r="D44" i="1" s="1"/>
  <c r="E44" i="1" s="1"/>
  <c r="B45" i="1"/>
  <c r="C45" i="1" s="1"/>
  <c r="D45" i="1" s="1"/>
  <c r="E45" i="1" s="1"/>
  <c r="B46" i="1"/>
  <c r="C46" i="1" s="1"/>
  <c r="D46" i="1" s="1"/>
  <c r="E46" i="1" s="1"/>
  <c r="B47" i="1"/>
  <c r="C47" i="1" s="1"/>
  <c r="D47" i="1" s="1"/>
  <c r="E47" i="1" s="1"/>
  <c r="B48" i="1"/>
  <c r="C48" i="1" s="1"/>
  <c r="D48" i="1" s="1"/>
  <c r="E48" i="1" s="1"/>
  <c r="B49" i="1"/>
  <c r="C49" i="1" s="1"/>
  <c r="D49" i="1" s="1"/>
  <c r="E49" i="1" s="1"/>
  <c r="B50" i="1"/>
  <c r="C50" i="1" s="1"/>
  <c r="D50" i="1" s="1"/>
  <c r="E50" i="1" s="1"/>
  <c r="B51" i="1"/>
  <c r="C51" i="1" s="1"/>
  <c r="D51" i="1" s="1"/>
  <c r="E51" i="1" s="1"/>
  <c r="B52" i="1"/>
  <c r="C52" i="1" s="1"/>
  <c r="D52" i="1" s="1"/>
  <c r="E52" i="1" s="1"/>
  <c r="B53" i="1"/>
  <c r="C53" i="1" s="1"/>
  <c r="D53" i="1" s="1"/>
  <c r="E53" i="1" s="1"/>
  <c r="B54" i="1"/>
  <c r="C54" i="1" s="1"/>
  <c r="D54" i="1" s="1"/>
  <c r="E54" i="1" s="1"/>
  <c r="B55" i="1"/>
  <c r="C55" i="1" s="1"/>
  <c r="D55" i="1" s="1"/>
  <c r="E55" i="1" s="1"/>
  <c r="B56" i="1"/>
  <c r="C56" i="1" s="1"/>
  <c r="D56" i="1" s="1"/>
  <c r="E56" i="1" s="1"/>
  <c r="B57" i="1"/>
  <c r="C57" i="1" s="1"/>
  <c r="D57" i="1" s="1"/>
  <c r="E57" i="1" s="1"/>
  <c r="B58" i="1"/>
  <c r="B59" i="1"/>
  <c r="C59" i="1" s="1"/>
  <c r="D59" i="1" s="1"/>
  <c r="E59" i="1" s="1"/>
  <c r="B60" i="1"/>
  <c r="C60" i="1" s="1"/>
  <c r="D60" i="1" s="1"/>
  <c r="E60" i="1" s="1"/>
  <c r="B61" i="1"/>
  <c r="C61" i="1" s="1"/>
  <c r="D61" i="1" s="1"/>
  <c r="E61" i="1" s="1"/>
  <c r="B62" i="1"/>
  <c r="C62" i="1" s="1"/>
  <c r="D62" i="1" s="1"/>
  <c r="E62" i="1" s="1"/>
  <c r="B63" i="1"/>
  <c r="C63" i="1" s="1"/>
  <c r="D63" i="1" s="1"/>
  <c r="E63" i="1" s="1"/>
  <c r="B64" i="1"/>
  <c r="C64" i="1" s="1"/>
  <c r="D64" i="1" s="1"/>
  <c r="E64" i="1" s="1"/>
  <c r="B65" i="1"/>
  <c r="C65" i="1" s="1"/>
  <c r="D65" i="1" s="1"/>
  <c r="E65" i="1" s="1"/>
  <c r="B66" i="1"/>
  <c r="C66" i="1" s="1"/>
  <c r="D66" i="1" s="1"/>
  <c r="E66" i="1" s="1"/>
  <c r="B67" i="1"/>
  <c r="C67" i="1" s="1"/>
  <c r="D67" i="1" s="1"/>
  <c r="E67" i="1" s="1"/>
  <c r="B68" i="1"/>
  <c r="C68" i="1" s="1"/>
  <c r="D68" i="1" s="1"/>
  <c r="E68" i="1" s="1"/>
  <c r="B8" i="1"/>
  <c r="C10" i="1"/>
  <c r="D10" i="1" s="1"/>
  <c r="E10" i="1" s="1"/>
  <c r="C26" i="1"/>
  <c r="D26" i="1" s="1"/>
  <c r="E26" i="1" s="1"/>
  <c r="C58" i="1"/>
  <c r="D58" i="1" s="1"/>
  <c r="E58" i="1" s="1"/>
  <c r="C11" i="1"/>
  <c r="D11" i="1" s="1"/>
  <c r="E11" i="1" s="1"/>
  <c r="C15" i="1"/>
  <c r="D15" i="1" s="1"/>
  <c r="E15" i="1" s="1"/>
  <c r="C19" i="1"/>
  <c r="D19" i="1" s="1"/>
  <c r="E19" i="1" s="1"/>
  <c r="C23" i="1"/>
  <c r="D23" i="1" s="1"/>
  <c r="E23" i="1" s="1"/>
  <c r="C27" i="1"/>
  <c r="D27" i="1" s="1"/>
  <c r="E27" i="1" s="1"/>
  <c r="C8" i="1"/>
  <c r="D8" i="1" s="1"/>
  <c r="E8" i="1" s="1"/>
  <c r="Q3" i="12" l="1"/>
  <c r="Q4" i="12" l="1"/>
  <c r="C10" i="12" s="1"/>
  <c r="D10" i="12" s="1"/>
  <c r="C17" i="12"/>
  <c r="D17" i="12" s="1"/>
  <c r="C21" i="12"/>
  <c r="C25" i="12"/>
  <c r="D25" i="12" s="1"/>
  <c r="C29" i="12"/>
  <c r="C33" i="12"/>
  <c r="D33" i="12" s="1"/>
  <c r="C37" i="12"/>
  <c r="D37" i="12" s="1"/>
  <c r="C41" i="12"/>
  <c r="D41" i="12" s="1"/>
  <c r="C45" i="12"/>
  <c r="D45" i="12" s="1"/>
  <c r="C47" i="12"/>
  <c r="D47" i="12" s="1"/>
  <c r="C49" i="12"/>
  <c r="D49" i="12" s="1"/>
  <c r="C51" i="12"/>
  <c r="D51" i="12" s="1"/>
  <c r="C53" i="12"/>
  <c r="D53" i="12" s="1"/>
  <c r="C55" i="12"/>
  <c r="D55" i="12" s="1"/>
  <c r="C57" i="12"/>
  <c r="D57" i="12" s="1"/>
  <c r="C12" i="12"/>
  <c r="D12" i="12" s="1"/>
  <c r="C14" i="12"/>
  <c r="D14" i="12" s="1"/>
  <c r="C16" i="12"/>
  <c r="D16" i="12" s="1"/>
  <c r="C18" i="12"/>
  <c r="D18" i="12" s="1"/>
  <c r="C20" i="12"/>
  <c r="D20" i="12" s="1"/>
  <c r="C22" i="12"/>
  <c r="D22" i="12" s="1"/>
  <c r="C24" i="12"/>
  <c r="D24" i="12" s="1"/>
  <c r="C26" i="12"/>
  <c r="D26" i="12" s="1"/>
  <c r="C28" i="12"/>
  <c r="D28" i="12" s="1"/>
  <c r="C30" i="12"/>
  <c r="D30" i="12" s="1"/>
  <c r="C32" i="12"/>
  <c r="D32" i="12" s="1"/>
  <c r="C34" i="12"/>
  <c r="D34" i="12" s="1"/>
  <c r="C36" i="12"/>
  <c r="D36" i="12" s="1"/>
  <c r="C38" i="12"/>
  <c r="D38" i="12" s="1"/>
  <c r="C40" i="12"/>
  <c r="C42" i="12"/>
  <c r="D42" i="12" s="1"/>
  <c r="C44" i="12"/>
  <c r="D44" i="12" s="1"/>
  <c r="C46" i="12"/>
  <c r="D46" i="12" s="1"/>
  <c r="C48" i="12"/>
  <c r="D48" i="12" s="1"/>
  <c r="C50" i="12"/>
  <c r="D50" i="12" s="1"/>
  <c r="C52" i="12"/>
  <c r="D52" i="12" s="1"/>
  <c r="C54" i="12"/>
  <c r="D54" i="12" s="1"/>
  <c r="C56" i="12"/>
  <c r="D56" i="12" s="1"/>
  <c r="C58" i="12"/>
  <c r="D58" i="12" s="1"/>
  <c r="C59" i="12"/>
  <c r="D59" i="12" s="1"/>
  <c r="C61" i="12"/>
  <c r="D61" i="12" s="1"/>
  <c r="C63" i="12"/>
  <c r="D63" i="12" s="1"/>
  <c r="C65" i="12"/>
  <c r="D65" i="12" s="1"/>
  <c r="C67" i="12"/>
  <c r="D67" i="12" s="1"/>
  <c r="C69" i="12"/>
  <c r="C60" i="12"/>
  <c r="D60" i="12" s="1"/>
  <c r="C62" i="12"/>
  <c r="D62" i="12" s="1"/>
  <c r="C64" i="12"/>
  <c r="D64" i="12" s="1"/>
  <c r="C66" i="12"/>
  <c r="D66" i="12" s="1"/>
  <c r="C68" i="12"/>
  <c r="D68" i="12" s="1"/>
  <c r="C70" i="12"/>
  <c r="D70" i="12" s="1"/>
  <c r="C43" i="12" l="1"/>
  <c r="D43" i="12" s="1"/>
  <c r="C39" i="12"/>
  <c r="D39" i="12" s="1"/>
  <c r="C35" i="12"/>
  <c r="D35" i="12" s="1"/>
  <c r="C31" i="12"/>
  <c r="D31" i="12" s="1"/>
  <c r="C27" i="12"/>
  <c r="D27" i="12" s="1"/>
  <c r="C23" i="12"/>
  <c r="D23" i="12" s="1"/>
  <c r="C19" i="12"/>
  <c r="D19" i="12" s="1"/>
  <c r="C15" i="12"/>
  <c r="D15" i="12" s="1"/>
  <c r="C13" i="12"/>
  <c r="C11" i="12"/>
  <c r="D11" i="12" s="1"/>
  <c r="E10" i="12"/>
  <c r="E55" i="12"/>
  <c r="E23" i="12"/>
  <c r="D40" i="12"/>
  <c r="E40" i="12" s="1"/>
  <c r="D69" i="12"/>
  <c r="E69" i="12" s="1"/>
  <c r="D29" i="12"/>
  <c r="E29" i="12" s="1"/>
  <c r="D21" i="12"/>
  <c r="E21" i="12" s="1"/>
  <c r="D13" i="12"/>
  <c r="E13" i="12" s="1"/>
  <c r="E64" i="12"/>
  <c r="E18" i="12"/>
  <c r="E26" i="12"/>
  <c r="E34" i="12"/>
  <c r="E42" i="12"/>
  <c r="E50" i="12"/>
  <c r="E58" i="12"/>
  <c r="E66" i="12"/>
  <c r="E37" i="12"/>
  <c r="E45" i="12"/>
  <c r="E53" i="12"/>
  <c r="E61" i="12"/>
  <c r="E67" i="12"/>
  <c r="E59" i="12"/>
  <c r="E56" i="12"/>
  <c r="E48" i="12"/>
  <c r="E32" i="12"/>
  <c r="E24" i="12"/>
  <c r="E16" i="12"/>
  <c r="E51" i="12"/>
  <c r="E43" i="12"/>
  <c r="E35" i="12"/>
  <c r="E27" i="12"/>
  <c r="E19" i="12"/>
  <c r="E11" i="12"/>
  <c r="E12" i="12"/>
  <c r="E20" i="12"/>
  <c r="E28" i="12"/>
  <c r="E36" i="12"/>
  <c r="E44" i="12"/>
  <c r="E52" i="12"/>
  <c r="E60" i="12"/>
  <c r="E68" i="12"/>
  <c r="E15" i="12"/>
  <c r="E31" i="12"/>
  <c r="E39" i="12"/>
  <c r="E47" i="12"/>
  <c r="E63" i="12"/>
  <c r="E14" i="12"/>
  <c r="E22" i="12"/>
  <c r="E30" i="12"/>
  <c r="E38" i="12"/>
  <c r="E46" i="12"/>
  <c r="E54" i="12"/>
  <c r="E62" i="12"/>
  <c r="E70" i="12"/>
  <c r="E17" i="12"/>
  <c r="E25" i="12"/>
  <c r="E33" i="12"/>
  <c r="E41" i="12"/>
  <c r="E49" i="12"/>
  <c r="E57" i="12"/>
  <c r="E65" i="12"/>
</calcChain>
</file>

<file path=xl/sharedStrings.xml><?xml version="1.0" encoding="utf-8"?>
<sst xmlns="http://schemas.openxmlformats.org/spreadsheetml/2006/main" count="105" uniqueCount="71">
  <si>
    <t>V DC</t>
  </si>
  <si>
    <t>Temp</t>
  </si>
  <si>
    <t>R (kOhm)</t>
  </si>
  <si>
    <t>pullup R:</t>
  </si>
  <si>
    <t>kOhm</t>
  </si>
  <si>
    <t>V_in</t>
  </si>
  <si>
    <t>V</t>
  </si>
  <si>
    <t>oversampler</t>
  </si>
  <si>
    <t>Reading</t>
  </si>
  <si>
    <t>RT/R25</t>
  </si>
  <si>
    <t>T (°C)</t>
  </si>
  <si>
    <t>R/T characteristics: 8304</t>
  </si>
  <si>
    <t>nickel plated wires</t>
  </si>
  <si>
    <t>R25</t>
  </si>
  <si>
    <t>kOhm (at 25°C)</t>
  </si>
  <si>
    <t>Reading - oversampled</t>
  </si>
  <si>
    <t>scale</t>
  </si>
  <si>
    <t>(precision of voltage measurement)</t>
  </si>
  <si>
    <r>
      <rPr>
        <b/>
        <u/>
        <sz val="11"/>
        <color theme="1"/>
        <rFont val="Calibri"/>
        <family val="2"/>
        <scheme val="minor"/>
      </rPr>
      <t>1.)</t>
    </r>
    <r>
      <rPr>
        <sz val="11"/>
        <color theme="1"/>
        <rFont val="Calibri"/>
        <family val="2"/>
        <scheme val="minor"/>
      </rPr>
      <t xml:space="preserve"> Get your thermistor R/T datasheets from the manufacturer. These should be fairly easy to find on the supplier's website. See example below of how to get your R/T tables (example is from the Epcos 100k thermistor [B57560G104F] that I use for my hot end, very similar to the one originally provided by makergear) - pages below are extracts from the datasheets only.</t>
    </r>
  </si>
  <si>
    <r>
      <rPr>
        <b/>
        <u/>
        <sz val="11"/>
        <color theme="1"/>
        <rFont val="Calibri"/>
        <family val="2"/>
        <scheme val="minor"/>
      </rPr>
      <t>2.)</t>
    </r>
    <r>
      <rPr>
        <sz val="11"/>
        <color theme="1"/>
        <rFont val="Calibri"/>
        <family val="2"/>
        <scheme val="minor"/>
      </rPr>
      <t xml:space="preserve"> Copy the </t>
    </r>
    <r>
      <rPr>
        <b/>
        <sz val="11"/>
        <color theme="1"/>
        <rFont val="Calibri"/>
        <family val="2"/>
        <scheme val="minor"/>
      </rPr>
      <t>R and T</t>
    </r>
    <r>
      <rPr>
        <sz val="11"/>
        <color theme="1"/>
        <rFont val="Calibri"/>
        <family val="2"/>
        <scheme val="minor"/>
      </rPr>
      <t xml:space="preserve"> values into the main sheet, in the red cells (note: the Alpha [%/k] values aren't required)</t>
    </r>
  </si>
  <si>
    <r>
      <rPr>
        <b/>
        <u/>
        <sz val="11"/>
        <color theme="1"/>
        <rFont val="Calibri"/>
        <family val="2"/>
        <scheme val="minor"/>
      </rPr>
      <t>4.)</t>
    </r>
    <r>
      <rPr>
        <sz val="11"/>
        <color theme="1"/>
        <rFont val="Calibri"/>
        <family val="2"/>
        <scheme val="minor"/>
      </rPr>
      <t xml:space="preserve"> Enter the voltage into the voltage divider, </t>
    </r>
    <r>
      <rPr>
        <b/>
        <sz val="11"/>
        <color theme="1"/>
        <rFont val="Calibri"/>
        <family val="2"/>
        <scheme val="minor"/>
      </rPr>
      <t>Vin</t>
    </r>
    <r>
      <rPr>
        <sz val="11"/>
        <color theme="1"/>
        <rFont val="Calibri"/>
        <family val="2"/>
        <scheme val="minor"/>
      </rPr>
      <t xml:space="preserve"> (typically </t>
    </r>
    <r>
      <rPr>
        <b/>
        <sz val="11"/>
        <color theme="1"/>
        <rFont val="Calibri"/>
        <family val="2"/>
        <scheme val="minor"/>
      </rPr>
      <t>5V</t>
    </r>
    <r>
      <rPr>
        <sz val="11"/>
        <color theme="1"/>
        <rFont val="Calibri"/>
        <family val="2"/>
        <scheme val="minor"/>
      </rPr>
      <t>, as this is standard logic voltage)</t>
    </r>
  </si>
  <si>
    <r>
      <rPr>
        <b/>
        <u/>
        <sz val="11"/>
        <color theme="1"/>
        <rFont val="Calibri"/>
        <family val="2"/>
        <scheme val="minor"/>
      </rPr>
      <t>5.)</t>
    </r>
    <r>
      <rPr>
        <sz val="11"/>
        <color theme="1"/>
        <rFont val="Calibri"/>
        <family val="2"/>
        <scheme val="minor"/>
      </rPr>
      <t xml:space="preserve"> Enter the </t>
    </r>
    <r>
      <rPr>
        <b/>
        <sz val="11"/>
        <color theme="1"/>
        <rFont val="Calibri"/>
        <family val="2"/>
        <scheme val="minor"/>
      </rPr>
      <t>Oversampling</t>
    </r>
    <r>
      <rPr>
        <sz val="11"/>
        <color theme="1"/>
        <rFont val="Calibri"/>
        <family val="2"/>
        <scheme val="minor"/>
      </rPr>
      <t xml:space="preserve"> number. For marlin, this is </t>
    </r>
    <r>
      <rPr>
        <b/>
        <sz val="11"/>
        <color theme="1"/>
        <rFont val="Calibri"/>
        <family val="2"/>
        <scheme val="minor"/>
      </rPr>
      <t>16</t>
    </r>
    <r>
      <rPr>
        <sz val="11"/>
        <color theme="1"/>
        <rFont val="Calibri"/>
        <family val="2"/>
        <scheme val="minor"/>
      </rPr>
      <t xml:space="preserve"> (the thermistor tables in marlin show a measurement value of X * OVERSMAPLENR, but since we include the oversampling here, you just copy the values straight in, as shown on the marlin_table sheet that is generated later). oversampling is used to get greater precision of measurements.</t>
    </r>
  </si>
  <si>
    <r>
      <rPr>
        <b/>
        <u/>
        <sz val="11"/>
        <color theme="1"/>
        <rFont val="Calibri"/>
        <family val="2"/>
        <scheme val="minor"/>
      </rPr>
      <t>7.)</t>
    </r>
    <r>
      <rPr>
        <sz val="11"/>
        <color theme="1"/>
        <rFont val="Calibri"/>
        <family val="2"/>
        <scheme val="minor"/>
      </rPr>
      <t xml:space="preserve"> Enter the precision of the voltage measurement </t>
    </r>
    <r>
      <rPr>
        <b/>
        <sz val="11"/>
        <color theme="1"/>
        <rFont val="Calibri"/>
        <family val="2"/>
        <scheme val="minor"/>
      </rPr>
      <t>scale.</t>
    </r>
    <r>
      <rPr>
        <sz val="11"/>
        <color theme="1"/>
        <rFont val="Calibri"/>
        <family val="2"/>
        <scheme val="minor"/>
      </rPr>
      <t xml:space="preserve"> For arduino boards, so for normal reprap applications, this is </t>
    </r>
    <r>
      <rPr>
        <b/>
        <sz val="11"/>
        <color theme="1"/>
        <rFont val="Calibri"/>
        <family val="2"/>
        <scheme val="minor"/>
      </rPr>
      <t>1023</t>
    </r>
    <r>
      <rPr>
        <sz val="11"/>
        <color theme="1"/>
        <rFont val="Calibri"/>
        <family val="2"/>
        <scheme val="minor"/>
      </rPr>
      <t xml:space="preserve"> (i.e. the analogue measurement splits a voltage of 5V into 1024 increments)</t>
    </r>
  </si>
  <si>
    <r>
      <rPr>
        <b/>
        <u/>
        <sz val="11"/>
        <color theme="1"/>
        <rFont val="Calibri"/>
        <family val="2"/>
        <scheme val="minor"/>
      </rPr>
      <t>9.)</t>
    </r>
    <r>
      <rPr>
        <sz val="11"/>
        <color theme="1"/>
        <rFont val="Calibri"/>
        <family val="2"/>
        <scheme val="minor"/>
      </rPr>
      <t xml:space="preserve"> to get a table that you can just copy and paste into your custom Thermistor Table in Marlin, click on the </t>
    </r>
    <r>
      <rPr>
        <b/>
        <sz val="11"/>
        <color theme="1"/>
        <rFont val="Calibri"/>
        <family val="2"/>
        <scheme val="minor"/>
      </rPr>
      <t>"Create Table" button</t>
    </r>
    <r>
      <rPr>
        <sz val="11"/>
        <color theme="1"/>
        <rFont val="Calibri"/>
        <family val="2"/>
        <scheme val="minor"/>
      </rPr>
      <t>. This will just create a new sheet with correctly syntaxed data for the table, running from high temp to low temp (as per marlin standard). You can copy and paste these cells directly into the Marlin code.</t>
    </r>
  </si>
  <si>
    <t xml:space="preserve">From thermistor datasheet: </t>
  </si>
  <si>
    <t>B57560G104F</t>
  </si>
  <si>
    <t>Output Marlin Thermistor Table (note: don't add *OVERSAMPLENR)</t>
  </si>
  <si>
    <r>
      <rPr>
        <b/>
        <u/>
        <sz val="11"/>
        <color theme="1"/>
        <rFont val="Calibri"/>
        <family val="2"/>
        <scheme val="minor"/>
      </rPr>
      <t>8.)</t>
    </r>
    <r>
      <rPr>
        <sz val="11"/>
        <color theme="1"/>
        <rFont val="Calibri"/>
        <family val="2"/>
        <scheme val="minor"/>
      </rPr>
      <t xml:space="preserve"> Once you are happy with all of the values in </t>
    </r>
    <r>
      <rPr>
        <sz val="11"/>
        <color rgb="FFFF0000"/>
        <rFont val="Calibri"/>
        <family val="2"/>
        <scheme val="minor"/>
      </rPr>
      <t>RED BORDERED</t>
    </r>
    <r>
      <rPr>
        <sz val="11"/>
        <color theme="1"/>
        <rFont val="Calibri"/>
        <family val="2"/>
        <scheme val="minor"/>
      </rPr>
      <t xml:space="preserve"> cells, you can check your READING values at various temperatures, compare them to other tables in Marlin. If the values line up with another thermistor table already in Marlin, great, use that table (note: compare the values in the READING column, column D, since These are the values before teh oversampling factor is applied, and the tables in Marlin include an oversampling Multiplier).
       Otherwise, add your own table by copying the format of the other tables, and specify the new number that you give it as your thermistor number (in the "configure" code) (or just paste your data over the top of a thermistor table that you aren't using! and comment it accordingly in the code!).</t>
    </r>
  </si>
  <si>
    <r>
      <rPr>
        <b/>
        <u/>
        <sz val="11"/>
        <color theme="1"/>
        <rFont val="Calibri"/>
        <family val="2"/>
        <scheme val="minor"/>
      </rPr>
      <t>3.)</t>
    </r>
    <r>
      <rPr>
        <sz val="11"/>
        <color theme="1"/>
        <rFont val="Calibri"/>
        <family val="2"/>
        <scheme val="minor"/>
      </rPr>
      <t xml:space="preserve"> enter the value of your </t>
    </r>
    <r>
      <rPr>
        <b/>
        <sz val="11"/>
        <color theme="1"/>
        <rFont val="Calibri"/>
        <family val="2"/>
        <scheme val="minor"/>
      </rPr>
      <t>pull-up resistor</t>
    </r>
    <r>
      <rPr>
        <sz val="11"/>
        <color theme="1"/>
        <rFont val="Calibri"/>
        <family val="2"/>
        <scheme val="minor"/>
      </rPr>
      <t xml:space="preserve"> (the resistor used in your voltage divider, which allows you to measure the relative resistance of the thermistor). This is typically </t>
    </r>
    <r>
      <rPr>
        <b/>
        <sz val="11"/>
        <color theme="1"/>
        <rFont val="Calibri"/>
        <family val="2"/>
        <scheme val="minor"/>
      </rPr>
      <t>4.7 kOhm</t>
    </r>
    <r>
      <rPr>
        <sz val="11"/>
        <color theme="1"/>
        <rFont val="Calibri"/>
        <family val="2"/>
        <scheme val="minor"/>
      </rPr>
      <t>. Check the design of your control board (RUMBA, RAMPS, etc), or ask the supplier what the value of this Pullup Resistor is.</t>
    </r>
  </si>
  <si>
    <r>
      <rPr>
        <b/>
        <u/>
        <sz val="11"/>
        <color theme="1"/>
        <rFont val="Calibri"/>
        <family val="2"/>
        <scheme val="minor"/>
      </rPr>
      <t>6.)</t>
    </r>
    <r>
      <rPr>
        <sz val="11"/>
        <color theme="1"/>
        <rFont val="Calibri"/>
        <family val="2"/>
        <scheme val="minor"/>
      </rPr>
      <t xml:space="preserve"> Enter the Thermistor resistance at 25°C, </t>
    </r>
    <r>
      <rPr>
        <b/>
        <sz val="11"/>
        <color theme="1"/>
        <rFont val="Calibri"/>
        <family val="2"/>
        <scheme val="minor"/>
      </rPr>
      <t>R25.</t>
    </r>
    <r>
      <rPr>
        <sz val="11"/>
        <color theme="1"/>
        <rFont val="Calibri"/>
        <family val="2"/>
        <scheme val="minor"/>
      </rPr>
      <t xml:space="preserve"> This is the standard value used to specify a thermistor. The resistance of the thermistor at other temperatures is given in the tables relative to R25 (i.e. as a fraction or multiple of R25), so all values in that table get multiplied by this to give the actual resistance, from which the measured voltage is derived. Normally </t>
    </r>
    <r>
      <rPr>
        <b/>
        <sz val="11"/>
        <color theme="1"/>
        <rFont val="Calibri"/>
        <family val="2"/>
        <scheme val="minor"/>
      </rPr>
      <t>100kOhm</t>
    </r>
    <r>
      <rPr>
        <sz val="11"/>
        <color theme="1"/>
        <rFont val="Calibri"/>
        <family val="2"/>
        <scheme val="minor"/>
      </rPr>
      <t xml:space="preserve"> thermistors are used for reprap controls. If you're unsure, just measure the resistance of your thermistor at room temperature, and this will give you a pretty good idea of the nominal resistance.</t>
    </r>
  </si>
  <si>
    <r>
      <rPr>
        <b/>
        <sz val="11"/>
        <color theme="1"/>
        <rFont val="Calibri"/>
        <family val="2"/>
        <scheme val="minor"/>
      </rPr>
      <t>10.)</t>
    </r>
    <r>
      <rPr>
        <sz val="11"/>
        <color theme="1"/>
        <rFont val="Calibri"/>
        <family val="2"/>
        <scheme val="minor"/>
      </rPr>
      <t xml:space="preserve"> Remember, at the end of the day, the R25 temp is the most important value, and is easy to measure with a Digital Multimeter. If you don't actually have any technical data about your thermistor, you just need to do the following:
    a. Measure your thermistor's resistance at room temperature
    b. Select a thermistor table in your firmware with an appropriate R25 value
    c. Slowly increase the temperature (using printer control software like Pronterface, etc) until you are able to manually push filament through the hot end and have it melt, extruding out the nozzle.
    d. This temperature set point can be compared to the theoretical melting point of the filament. If it's close enough, leave the thermistor table as is. If not, select a different table and repeat, or adjust the values in the table so that the Room Temp reading and Melting Point temp line up (i.e. the temperature readings from your printer are roughly what's expected based on the approximate room temperature and melting point of the plastic).
    e. Now just fine tune your Nozzle Temperature set point (for printing, in your slicer software), as you would normally do regardless of the uncertainty of your thermistor.
    f. It doesn't matter if you have a bit of an error between your Measured versus Actual temperatures, as long as it is a consistent error, you can still calibrate the printer to run at a set point suitable for that particular filament. You only need to be accurate enough that you can still set reasonable safety limits on your temperature, to prevent damaging the hot end by overtemperature.</t>
    </r>
  </si>
  <si>
    <t>T0</t>
  </si>
  <si>
    <t>R0</t>
  </si>
  <si>
    <t>°C</t>
  </si>
  <si>
    <t>B (Beta, B25/100)</t>
  </si>
  <si>
    <t>T_B</t>
  </si>
  <si>
    <t>K</t>
  </si>
  <si>
    <t>T (K)</t>
  </si>
  <si>
    <t>data point #</t>
  </si>
  <si>
    <t>LN R</t>
  </si>
  <si>
    <t>Calculation Values</t>
  </si>
  <si>
    <t>Z</t>
  </si>
  <si>
    <t>Y</t>
  </si>
  <si>
    <t>X</t>
  </si>
  <si>
    <t>W</t>
  </si>
  <si>
    <t>U</t>
  </si>
  <si>
    <t>Steinhart-Hart Equation Coefficients</t>
  </si>
  <si>
    <t>C3</t>
  </si>
  <si>
    <t>C2</t>
  </si>
  <si>
    <t>C1</t>
  </si>
  <si>
    <t>T(°C)</t>
  </si>
  <si>
    <t>T (k)</t>
  </si>
  <si>
    <t>y</t>
  </si>
  <si>
    <t>x</t>
  </si>
  <si>
    <t>R (Ohm)</t>
  </si>
  <si>
    <t>R (Ohms)</t>
  </si>
  <si>
    <t>http://en.wikipedia.org/wiki/Thermistor</t>
  </si>
  <si>
    <t>http://assets.newport.com/webDocuments-EN/images/AN04_Thermistor_Calibration_IX.PDF</t>
  </si>
  <si>
    <t>References:</t>
  </si>
  <si>
    <t>2.) Input the values for R Pullup, Vin, Oversampling number, and scale, as discussed in method 1.</t>
  </si>
  <si>
    <r>
      <t xml:space="preserve">1.) Using the Beta &amp; R25 values supplied by whoever sold you the thermistor (or looking up the datasheets online) complete the calculation inputs (in </t>
    </r>
    <r>
      <rPr>
        <sz val="11"/>
        <color rgb="FFFF0000"/>
        <rFont val="Calibri"/>
        <family val="2"/>
        <scheme val="minor"/>
      </rPr>
      <t>RED BORDERS</t>
    </r>
    <r>
      <rPr>
        <sz val="11"/>
        <color theme="1"/>
        <rFont val="Calibri"/>
        <family val="2"/>
        <scheme val="minor"/>
      </rPr>
      <t>)</t>
    </r>
  </si>
  <si>
    <t>3.) see example below, for my thermistor.</t>
  </si>
  <si>
    <t>NOTE: this method has greater error than using the R/T tables or manual calibrations, but is useful if all you know is the beta value. Note the comments in Method 1, regarding accuracy of your values.</t>
  </si>
  <si>
    <t>1. measure your thermistor resistance at room temperature (take multiple measurements and average the results), and record the temperature of your thermistor using a digital thermometer</t>
  </si>
  <si>
    <t>3.  Raise the temperature of your thermistor to a value above what you expect to print at (being careful not to OVER heat it). Measure temperature and resistance again</t>
  </si>
  <si>
    <t>2. Raise the temperature of your thermistor to a value somewhere just below the temperature that you expect to print at. Measure &amp; record the temperature and resistance</t>
  </si>
  <si>
    <t>4. Input these three pairs of values on the calculation sheet. These will be used to calculate the coefficients for the Steinhart-Hart equation.</t>
  </si>
  <si>
    <t>5. Input the remaining values on the calc sheet (Vin, R pullup, scale, oversampling)</t>
  </si>
  <si>
    <t>4.) click the button to generate the thermistor table for use in marlin</t>
  </si>
  <si>
    <t>NOTE: this method is extremely accurate, if the measurements are taken accurately.</t>
  </si>
  <si>
    <t>6. click the button to generate the new table for use in Marlin</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</si>
</sst>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scheme val="minor"/>
    </font>
    <font>
      <u/>
      <sz val="11"/>
      <color theme="1"/>
      <name val="Calibri"/>
      <family val="2"/>
      <scheme val="minor"/>
    </font>
    <font>
      <sz val="11"/>
      <color rgb="FF000000"/>
      <name val="Calibri"/>
      <family val="2"/>
    </font>
    <font>
      <sz val="11"/>
      <color rgb="FFFF0000"/>
      <name val="Calibri"/>
      <family val="2"/>
      <scheme val="minor"/>
    </font>
    <font>
      <b/>
      <sz val="11"/>
      <color theme="1"/>
      <name val="Calibri"/>
      <family val="2"/>
      <scheme val="minor"/>
    </font>
    <font>
      <b/>
      <u/>
      <sz val="11"/>
      <color theme="1"/>
      <name val="Calibri"/>
      <family val="2"/>
      <scheme val="minor"/>
    </font>
    <font>
      <sz val="11"/>
      <color rgb="FF0070C0"/>
      <name val="Calibri"/>
      <family val="2"/>
      <scheme val="minor"/>
    </font>
    <font>
      <sz val="11"/>
      <color rgb="FFFFC000"/>
      <name val="Calibri"/>
      <family val="2"/>
      <scheme val="minor"/>
    </font>
  </fonts>
  <fills count="2">
    <fill>
      <patternFill patternType="none"/>
    </fill>
    <fill>
      <patternFill patternType="gray125"/>
    </fill>
  </fills>
  <borders count="2">
    <border>
      <left/>
      <right/>
      <top/>
      <bottom/>
      <diagonal/>
    </border>
    <border>
      <left style="thin">
        <color rgb="FFFF0000"/>
      </left>
      <right style="thin">
        <color rgb="FFFF0000"/>
      </right>
      <top style="thin">
        <color rgb="FFFF0000"/>
      </top>
      <bottom style="thin">
        <color rgb="FFFF0000"/>
      </bottom>
      <diagonal/>
    </border>
  </borders>
  <cellStyleXfs count="1">
    <xf numFmtId="0" fontId="0" fillId="0" borderId="0"/>
  </cellStyleXfs>
  <cellXfs count="7">
    <xf numFmtId="0" fontId="0" fillId="0" borderId="0" xfId="0"/>
    <xf numFmtId="0" fontId="1" fillId="0" borderId="0" xfId="0" applyFont="1"/>
    <xf numFmtId="0" fontId="0" fillId="0" borderId="1" xfId="0" applyBorder="1"/>
    <xf numFmtId="0" fontId="0" fillId="0" borderId="0" xfId="0" applyAlignment="1">
      <alignment wrapText="1"/>
    </xf>
    <xf numFmtId="0" fontId="6" fillId="0" borderId="0" xfId="0" applyFont="1"/>
    <xf numFmtId="0" fontId="7" fillId="0" borderId="0" xfId="0" applyFont="1"/>
    <xf numFmtId="0" fontId="5"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hartsheet" Target="chartsheets/sheet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R/T</a:t>
            </a:r>
          </a:p>
        </c:rich>
      </c:tx>
      <c:layout/>
      <c:overlay val="0"/>
    </c:title>
    <c:autoTitleDeleted val="0"/>
    <c:plotArea>
      <c:layout/>
      <c:scatterChart>
        <c:scatterStyle val="smoothMarker"/>
        <c:varyColors val="0"/>
        <c:ser>
          <c:idx val="0"/>
          <c:order val="0"/>
          <c:tx>
            <c:strRef>
              <c:f>'1 ThermistorTableConversion'!$B$7</c:f>
              <c:strCache>
                <c:ptCount val="1"/>
                <c:pt idx="0">
                  <c:v>R (kOhm)</c:v>
                </c:pt>
              </c:strCache>
            </c:strRef>
          </c:tx>
          <c:xVal>
            <c:numRef>
              <c:f>'1 ThermistorTableConversion'!$A$8:$A$68</c:f>
              <c:numCache>
                <c:formatCode>General</c:formatCode>
                <c:ptCount val="61"/>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pt idx="25">
                  <c:v>125</c:v>
                </c:pt>
                <c:pt idx="26">
                  <c:v>130</c:v>
                </c:pt>
                <c:pt idx="27">
                  <c:v>135</c:v>
                </c:pt>
                <c:pt idx="28">
                  <c:v>140</c:v>
                </c:pt>
                <c:pt idx="29">
                  <c:v>145</c:v>
                </c:pt>
                <c:pt idx="30">
                  <c:v>150</c:v>
                </c:pt>
                <c:pt idx="31">
                  <c:v>155</c:v>
                </c:pt>
                <c:pt idx="32">
                  <c:v>160</c:v>
                </c:pt>
                <c:pt idx="33">
                  <c:v>165</c:v>
                </c:pt>
                <c:pt idx="34">
                  <c:v>170</c:v>
                </c:pt>
                <c:pt idx="35">
                  <c:v>175</c:v>
                </c:pt>
                <c:pt idx="36">
                  <c:v>180</c:v>
                </c:pt>
                <c:pt idx="37">
                  <c:v>185</c:v>
                </c:pt>
                <c:pt idx="38">
                  <c:v>190</c:v>
                </c:pt>
                <c:pt idx="39">
                  <c:v>195</c:v>
                </c:pt>
                <c:pt idx="40">
                  <c:v>200</c:v>
                </c:pt>
                <c:pt idx="41">
                  <c:v>205</c:v>
                </c:pt>
                <c:pt idx="42">
                  <c:v>210</c:v>
                </c:pt>
                <c:pt idx="43">
                  <c:v>215</c:v>
                </c:pt>
                <c:pt idx="44">
                  <c:v>220</c:v>
                </c:pt>
                <c:pt idx="45">
                  <c:v>225</c:v>
                </c:pt>
                <c:pt idx="46">
                  <c:v>230</c:v>
                </c:pt>
                <c:pt idx="47">
                  <c:v>235</c:v>
                </c:pt>
                <c:pt idx="48">
                  <c:v>240</c:v>
                </c:pt>
                <c:pt idx="49">
                  <c:v>245</c:v>
                </c:pt>
                <c:pt idx="50">
                  <c:v>250</c:v>
                </c:pt>
                <c:pt idx="51">
                  <c:v>255</c:v>
                </c:pt>
                <c:pt idx="52">
                  <c:v>260</c:v>
                </c:pt>
                <c:pt idx="53">
                  <c:v>265</c:v>
                </c:pt>
                <c:pt idx="54">
                  <c:v>270</c:v>
                </c:pt>
                <c:pt idx="55">
                  <c:v>275</c:v>
                </c:pt>
                <c:pt idx="56">
                  <c:v>280</c:v>
                </c:pt>
                <c:pt idx="57">
                  <c:v>285</c:v>
                </c:pt>
                <c:pt idx="58">
                  <c:v>290</c:v>
                </c:pt>
                <c:pt idx="59">
                  <c:v>295</c:v>
                </c:pt>
                <c:pt idx="60">
                  <c:v>300</c:v>
                </c:pt>
              </c:numCache>
            </c:numRef>
          </c:xVal>
          <c:yVal>
            <c:numRef>
              <c:f>'1 ThermistorTableConversion'!$B$8:$B$68</c:f>
              <c:numCache>
                <c:formatCode>General</c:formatCode>
                <c:ptCount val="61"/>
                <c:pt idx="0">
                  <c:v>332.4</c:v>
                </c:pt>
                <c:pt idx="1">
                  <c:v>257.69</c:v>
                </c:pt>
                <c:pt idx="2">
                  <c:v>201.27</c:v>
                </c:pt>
                <c:pt idx="3">
                  <c:v>158.34</c:v>
                </c:pt>
                <c:pt idx="4">
                  <c:v>125.42</c:v>
                </c:pt>
                <c:pt idx="5">
                  <c:v>100</c:v>
                </c:pt>
                <c:pt idx="6">
                  <c:v>80.239000000000004</c:v>
                </c:pt>
                <c:pt idx="7">
                  <c:v>64.775999999999996</c:v>
                </c:pt>
                <c:pt idx="8">
                  <c:v>52.597999999999999</c:v>
                </c:pt>
                <c:pt idx="9">
                  <c:v>42.95</c:v>
                </c:pt>
                <c:pt idx="10">
                  <c:v>35.262</c:v>
                </c:pt>
                <c:pt idx="11">
                  <c:v>29.099999999999998</c:v>
                </c:pt>
                <c:pt idx="12">
                  <c:v>24.135999999999999</c:v>
                </c:pt>
                <c:pt idx="13">
                  <c:v>20.114000000000001</c:v>
                </c:pt>
                <c:pt idx="14">
                  <c:v>16.841000000000001</c:v>
                </c:pt>
                <c:pt idx="15">
                  <c:v>14.163999999999998</c:v>
                </c:pt>
                <c:pt idx="16">
                  <c:v>11.962999999999999</c:v>
                </c:pt>
                <c:pt idx="17">
                  <c:v>10.147</c:v>
                </c:pt>
                <c:pt idx="18">
                  <c:v>8.6406999999999989</c:v>
                </c:pt>
                <c:pt idx="19">
                  <c:v>7.3867000000000003</c:v>
                </c:pt>
                <c:pt idx="20">
                  <c:v>6.3382999999999994</c:v>
                </c:pt>
                <c:pt idx="21">
                  <c:v>5.4584000000000001</c:v>
                </c:pt>
                <c:pt idx="22">
                  <c:v>4.7169999999999996</c:v>
                </c:pt>
                <c:pt idx="23">
                  <c:v>4.0900999999999996</c:v>
                </c:pt>
                <c:pt idx="24">
                  <c:v>3.5581</c:v>
                </c:pt>
                <c:pt idx="25">
                  <c:v>3.105</c:v>
                </c:pt>
                <c:pt idx="26">
                  <c:v>2.7178999999999998</c:v>
                </c:pt>
                <c:pt idx="27">
                  <c:v>2.3860999999999999</c:v>
                </c:pt>
                <c:pt idx="28">
                  <c:v>2.1008</c:v>
                </c:pt>
                <c:pt idx="29">
                  <c:v>1.8547999999999998</c:v>
                </c:pt>
                <c:pt idx="30">
                  <c:v>1.6418999999999999</c:v>
                </c:pt>
                <c:pt idx="31">
                  <c:v>1.4572999999999998</c:v>
                </c:pt>
                <c:pt idx="32">
                  <c:v>1.2967</c:v>
                </c:pt>
                <c:pt idx="33">
                  <c:v>1.1566000000000001</c:v>
                </c:pt>
                <c:pt idx="34">
                  <c:v>1.0341</c:v>
                </c:pt>
                <c:pt idx="35">
                  <c:v>0.92663999999999991</c:v>
                </c:pt>
                <c:pt idx="36">
                  <c:v>0.83224000000000009</c:v>
                </c:pt>
                <c:pt idx="37">
                  <c:v>0.74907000000000001</c:v>
                </c:pt>
                <c:pt idx="38">
                  <c:v>0.67564000000000002</c:v>
                </c:pt>
                <c:pt idx="39">
                  <c:v>0.61063999999999996</c:v>
                </c:pt>
                <c:pt idx="40">
                  <c:v>0.55298999999999998</c:v>
                </c:pt>
                <c:pt idx="41">
                  <c:v>0.50175000000000003</c:v>
                </c:pt>
                <c:pt idx="42">
                  <c:v>0.45611000000000002</c:v>
                </c:pt>
                <c:pt idx="43">
                  <c:v>0.41536999999999996</c:v>
                </c:pt>
                <c:pt idx="44">
                  <c:v>0.37895000000000001</c:v>
                </c:pt>
                <c:pt idx="45">
                  <c:v>0.34631000000000001</c:v>
                </c:pt>
                <c:pt idx="46">
                  <c:v>0.31701000000000001</c:v>
                </c:pt>
                <c:pt idx="47">
                  <c:v>0.29066999999999998</c:v>
                </c:pt>
                <c:pt idx="48">
                  <c:v>0.26693</c:v>
                </c:pt>
                <c:pt idx="49">
                  <c:v>0.24551000000000001</c:v>
                </c:pt>
                <c:pt idx="50">
                  <c:v>0.22615000000000002</c:v>
                </c:pt>
                <c:pt idx="51">
                  <c:v>0.20861999999999997</c:v>
                </c:pt>
                <c:pt idx="52">
                  <c:v>0.19273000000000001</c:v>
                </c:pt>
                <c:pt idx="53">
                  <c:v>0.17829</c:v>
                </c:pt>
                <c:pt idx="54">
                  <c:v>0.16516</c:v>
                </c:pt>
                <c:pt idx="55">
                  <c:v>0.15319000000000002</c:v>
                </c:pt>
                <c:pt idx="56">
                  <c:v>0.14228000000000002</c:v>
                </c:pt>
                <c:pt idx="57">
                  <c:v>0.13231000000000001</c:v>
                </c:pt>
                <c:pt idx="58">
                  <c:v>0.12318999999999999</c:v>
                </c:pt>
                <c:pt idx="59">
                  <c:v>0.11483000000000002</c:v>
                </c:pt>
                <c:pt idx="60">
                  <c:v>0.10716000000000001</c:v>
                </c:pt>
              </c:numCache>
            </c:numRef>
          </c:yVal>
          <c:smooth val="1"/>
        </c:ser>
        <c:dLbls>
          <c:showLegendKey val="0"/>
          <c:showVal val="0"/>
          <c:showCatName val="0"/>
          <c:showSerName val="0"/>
          <c:showPercent val="0"/>
          <c:showBubbleSize val="0"/>
        </c:dLbls>
        <c:axId val="38496896"/>
        <c:axId val="38988800"/>
      </c:scatterChart>
      <c:valAx>
        <c:axId val="38496896"/>
        <c:scaling>
          <c:orientation val="minMax"/>
        </c:scaling>
        <c:delete val="0"/>
        <c:axPos val="b"/>
        <c:title>
          <c:tx>
            <c:rich>
              <a:bodyPr/>
              <a:lstStyle/>
              <a:p>
                <a:pPr>
                  <a:defRPr/>
                </a:pPr>
                <a:r>
                  <a:rPr lang="en-AU"/>
                  <a:t>T (°C)</a:t>
                </a:r>
              </a:p>
            </c:rich>
          </c:tx>
          <c:layout/>
          <c:overlay val="0"/>
        </c:title>
        <c:numFmt formatCode="General" sourceLinked="1"/>
        <c:majorTickMark val="none"/>
        <c:minorTickMark val="none"/>
        <c:tickLblPos val="nextTo"/>
        <c:crossAx val="38988800"/>
        <c:crosses val="autoZero"/>
        <c:crossBetween val="midCat"/>
      </c:valAx>
      <c:valAx>
        <c:axId val="38988800"/>
        <c:scaling>
          <c:logBase val="10"/>
          <c:orientation val="minMax"/>
        </c:scaling>
        <c:delete val="0"/>
        <c:axPos val="l"/>
        <c:majorGridlines/>
        <c:title>
          <c:tx>
            <c:rich>
              <a:bodyPr/>
              <a:lstStyle/>
              <a:p>
                <a:pPr>
                  <a:defRPr/>
                </a:pPr>
                <a:r>
                  <a:rPr lang="en-AU"/>
                  <a:t>R (Ohms)</a:t>
                </a:r>
              </a:p>
            </c:rich>
          </c:tx>
          <c:layout/>
          <c:overlay val="0"/>
        </c:title>
        <c:numFmt formatCode="General" sourceLinked="1"/>
        <c:majorTickMark val="none"/>
        <c:minorTickMark val="none"/>
        <c:tickLblPos val="nextTo"/>
        <c:crossAx val="38496896"/>
        <c:crosses val="autoZero"/>
        <c:crossBetween val="midCat"/>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scatterChart>
        <c:scatterStyle val="smoothMarker"/>
        <c:varyColors val="0"/>
        <c:ser>
          <c:idx val="0"/>
          <c:order val="0"/>
          <c:tx>
            <c:strRef>
              <c:f>'1 ThermistorTableConversion'!$K$7</c:f>
              <c:strCache>
                <c:ptCount val="1"/>
                <c:pt idx="0">
                  <c:v>RT/R25</c:v>
                </c:pt>
              </c:strCache>
            </c:strRef>
          </c:tx>
          <c:xVal>
            <c:numRef>
              <c:f>'1 ThermistorTableConversion'!$J$8:$J$68</c:f>
              <c:numCache>
                <c:formatCode>General</c:formatCode>
                <c:ptCount val="61"/>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pt idx="25">
                  <c:v>125</c:v>
                </c:pt>
                <c:pt idx="26">
                  <c:v>130</c:v>
                </c:pt>
                <c:pt idx="27">
                  <c:v>135</c:v>
                </c:pt>
                <c:pt idx="28">
                  <c:v>140</c:v>
                </c:pt>
                <c:pt idx="29">
                  <c:v>145</c:v>
                </c:pt>
                <c:pt idx="30">
                  <c:v>150</c:v>
                </c:pt>
                <c:pt idx="31">
                  <c:v>155</c:v>
                </c:pt>
                <c:pt idx="32">
                  <c:v>160</c:v>
                </c:pt>
                <c:pt idx="33">
                  <c:v>165</c:v>
                </c:pt>
                <c:pt idx="34">
                  <c:v>170</c:v>
                </c:pt>
                <c:pt idx="35">
                  <c:v>175</c:v>
                </c:pt>
                <c:pt idx="36">
                  <c:v>180</c:v>
                </c:pt>
                <c:pt idx="37">
                  <c:v>185</c:v>
                </c:pt>
                <c:pt idx="38">
                  <c:v>190</c:v>
                </c:pt>
                <c:pt idx="39">
                  <c:v>195</c:v>
                </c:pt>
                <c:pt idx="40">
                  <c:v>200</c:v>
                </c:pt>
                <c:pt idx="41">
                  <c:v>205</c:v>
                </c:pt>
                <c:pt idx="42">
                  <c:v>210</c:v>
                </c:pt>
                <c:pt idx="43">
                  <c:v>215</c:v>
                </c:pt>
                <c:pt idx="44">
                  <c:v>220</c:v>
                </c:pt>
                <c:pt idx="45">
                  <c:v>225</c:v>
                </c:pt>
                <c:pt idx="46">
                  <c:v>230</c:v>
                </c:pt>
                <c:pt idx="47">
                  <c:v>235</c:v>
                </c:pt>
                <c:pt idx="48">
                  <c:v>240</c:v>
                </c:pt>
                <c:pt idx="49">
                  <c:v>245</c:v>
                </c:pt>
                <c:pt idx="50">
                  <c:v>250</c:v>
                </c:pt>
                <c:pt idx="51">
                  <c:v>255</c:v>
                </c:pt>
                <c:pt idx="52">
                  <c:v>260</c:v>
                </c:pt>
                <c:pt idx="53">
                  <c:v>265</c:v>
                </c:pt>
                <c:pt idx="54">
                  <c:v>270</c:v>
                </c:pt>
                <c:pt idx="55">
                  <c:v>275</c:v>
                </c:pt>
                <c:pt idx="56">
                  <c:v>280</c:v>
                </c:pt>
                <c:pt idx="57">
                  <c:v>285</c:v>
                </c:pt>
                <c:pt idx="58">
                  <c:v>290</c:v>
                </c:pt>
                <c:pt idx="59">
                  <c:v>295</c:v>
                </c:pt>
                <c:pt idx="60">
                  <c:v>300</c:v>
                </c:pt>
              </c:numCache>
            </c:numRef>
          </c:xVal>
          <c:yVal>
            <c:numRef>
              <c:f>'1 ThermistorTableConversion'!$K$8:$K$68</c:f>
              <c:numCache>
                <c:formatCode>General</c:formatCode>
                <c:ptCount val="61"/>
                <c:pt idx="0">
                  <c:v>3.3239999999999998</c:v>
                </c:pt>
                <c:pt idx="1">
                  <c:v>2.5769000000000002</c:v>
                </c:pt>
                <c:pt idx="2">
                  <c:v>2.0127000000000002</c:v>
                </c:pt>
                <c:pt idx="3">
                  <c:v>1.5833999999999999</c:v>
                </c:pt>
                <c:pt idx="4">
                  <c:v>1.2542</c:v>
                </c:pt>
                <c:pt idx="5">
                  <c:v>1</c:v>
                </c:pt>
                <c:pt idx="6">
                  <c:v>0.80239000000000005</c:v>
                </c:pt>
                <c:pt idx="7">
                  <c:v>0.64776</c:v>
                </c:pt>
                <c:pt idx="8">
                  <c:v>0.52598</c:v>
                </c:pt>
                <c:pt idx="9">
                  <c:v>0.42949999999999999</c:v>
                </c:pt>
                <c:pt idx="10">
                  <c:v>0.35261999999999999</c:v>
                </c:pt>
                <c:pt idx="11">
                  <c:v>0.29099999999999998</c:v>
                </c:pt>
                <c:pt idx="12">
                  <c:v>0.24135999999999999</c:v>
                </c:pt>
                <c:pt idx="13">
                  <c:v>0.20114000000000001</c:v>
                </c:pt>
                <c:pt idx="14">
                  <c:v>0.16841</c:v>
                </c:pt>
                <c:pt idx="15">
                  <c:v>0.14163999999999999</c:v>
                </c:pt>
                <c:pt idx="16">
                  <c:v>0.11963</c:v>
                </c:pt>
                <c:pt idx="17">
                  <c:v>0.10147</c:v>
                </c:pt>
                <c:pt idx="18">
                  <c:v>8.6406999999999998E-2</c:v>
                </c:pt>
                <c:pt idx="19">
                  <c:v>7.3867000000000002E-2</c:v>
                </c:pt>
                <c:pt idx="20">
                  <c:v>6.3382999999999995E-2</c:v>
                </c:pt>
                <c:pt idx="21">
                  <c:v>5.4584000000000001E-2</c:v>
                </c:pt>
                <c:pt idx="22">
                  <c:v>4.7169999999999997E-2</c:v>
                </c:pt>
                <c:pt idx="23">
                  <c:v>4.0901E-2</c:v>
                </c:pt>
                <c:pt idx="24">
                  <c:v>3.5581000000000002E-2</c:v>
                </c:pt>
                <c:pt idx="25">
                  <c:v>3.1050000000000001E-2</c:v>
                </c:pt>
                <c:pt idx="26">
                  <c:v>2.7178999999999998E-2</c:v>
                </c:pt>
                <c:pt idx="27">
                  <c:v>2.3861E-2</c:v>
                </c:pt>
                <c:pt idx="28">
                  <c:v>2.1007999999999999E-2</c:v>
                </c:pt>
                <c:pt idx="29">
                  <c:v>1.8547999999999999E-2</c:v>
                </c:pt>
                <c:pt idx="30">
                  <c:v>1.6419E-2</c:v>
                </c:pt>
                <c:pt idx="31">
                  <c:v>1.4572999999999999E-2</c:v>
                </c:pt>
                <c:pt idx="32">
                  <c:v>1.2966999999999999E-2</c:v>
                </c:pt>
                <c:pt idx="33">
                  <c:v>1.1566E-2</c:v>
                </c:pt>
                <c:pt idx="34">
                  <c:v>1.0340999999999999E-2</c:v>
                </c:pt>
                <c:pt idx="35">
                  <c:v>9.2663999999999993E-3</c:v>
                </c:pt>
                <c:pt idx="36">
                  <c:v>8.3224000000000006E-3</c:v>
                </c:pt>
                <c:pt idx="37">
                  <c:v>7.4907000000000003E-3</c:v>
                </c:pt>
                <c:pt idx="38">
                  <c:v>6.7564000000000001E-3</c:v>
                </c:pt>
                <c:pt idx="39">
                  <c:v>6.1063999999999997E-3</c:v>
                </c:pt>
                <c:pt idx="40">
                  <c:v>5.5298999999999999E-3</c:v>
                </c:pt>
                <c:pt idx="41">
                  <c:v>5.0175000000000003E-3</c:v>
                </c:pt>
                <c:pt idx="42">
                  <c:v>4.5611000000000002E-3</c:v>
                </c:pt>
                <c:pt idx="43">
                  <c:v>4.1536999999999998E-3</c:v>
                </c:pt>
                <c:pt idx="44">
                  <c:v>3.7894999999999999E-3</c:v>
                </c:pt>
                <c:pt idx="45">
                  <c:v>3.4631000000000002E-3</c:v>
                </c:pt>
                <c:pt idx="46">
                  <c:v>3.1700999999999999E-3</c:v>
                </c:pt>
                <c:pt idx="47">
                  <c:v>2.9066999999999999E-3</c:v>
                </c:pt>
                <c:pt idx="48">
                  <c:v>2.6692999999999999E-3</c:v>
                </c:pt>
                <c:pt idx="49">
                  <c:v>2.4551E-3</c:v>
                </c:pt>
                <c:pt idx="50">
                  <c:v>2.2615000000000001E-3</c:v>
                </c:pt>
                <c:pt idx="51">
                  <c:v>2.0861999999999999E-3</c:v>
                </c:pt>
                <c:pt idx="52">
                  <c:v>1.9273000000000001E-3</c:v>
                </c:pt>
                <c:pt idx="53">
                  <c:v>1.7829E-3</c:v>
                </c:pt>
                <c:pt idx="54">
                  <c:v>1.6516E-3</c:v>
                </c:pt>
                <c:pt idx="55">
                  <c:v>1.5319000000000001E-3</c:v>
                </c:pt>
                <c:pt idx="56">
                  <c:v>1.4228000000000001E-3</c:v>
                </c:pt>
                <c:pt idx="57">
                  <c:v>1.3231E-3</c:v>
                </c:pt>
                <c:pt idx="58">
                  <c:v>1.2319E-3</c:v>
                </c:pt>
                <c:pt idx="59">
                  <c:v>1.1483000000000001E-3</c:v>
                </c:pt>
                <c:pt idx="60">
                  <c:v>1.0716E-3</c:v>
                </c:pt>
              </c:numCache>
            </c:numRef>
          </c:yVal>
          <c:smooth val="1"/>
        </c:ser>
        <c:dLbls>
          <c:showLegendKey val="0"/>
          <c:showVal val="0"/>
          <c:showCatName val="0"/>
          <c:showSerName val="0"/>
          <c:showPercent val="0"/>
          <c:showBubbleSize val="0"/>
        </c:dLbls>
        <c:axId val="95331456"/>
        <c:axId val="95333376"/>
      </c:scatterChart>
      <c:valAx>
        <c:axId val="95331456"/>
        <c:scaling>
          <c:orientation val="minMax"/>
        </c:scaling>
        <c:delete val="0"/>
        <c:axPos val="b"/>
        <c:title>
          <c:tx>
            <c:rich>
              <a:bodyPr/>
              <a:lstStyle/>
              <a:p>
                <a:pPr>
                  <a:defRPr/>
                </a:pPr>
                <a:r>
                  <a:rPr lang="en-AU"/>
                  <a:t>T (°C)</a:t>
                </a:r>
              </a:p>
            </c:rich>
          </c:tx>
          <c:layout/>
          <c:overlay val="0"/>
        </c:title>
        <c:numFmt formatCode="General" sourceLinked="1"/>
        <c:majorTickMark val="none"/>
        <c:minorTickMark val="none"/>
        <c:tickLblPos val="nextTo"/>
        <c:crossAx val="95333376"/>
        <c:crosses val="autoZero"/>
        <c:crossBetween val="midCat"/>
      </c:valAx>
      <c:valAx>
        <c:axId val="95333376"/>
        <c:scaling>
          <c:logBase val="10"/>
          <c:orientation val="minMax"/>
        </c:scaling>
        <c:delete val="0"/>
        <c:axPos val="l"/>
        <c:majorGridlines/>
        <c:title>
          <c:tx>
            <c:rich>
              <a:bodyPr/>
              <a:lstStyle/>
              <a:p>
                <a:pPr>
                  <a:defRPr/>
                </a:pPr>
                <a:r>
                  <a:rPr lang="en-AU"/>
                  <a:t>RT/R25</a:t>
                </a:r>
              </a:p>
            </c:rich>
          </c:tx>
          <c:layout/>
          <c:overlay val="0"/>
        </c:title>
        <c:numFmt formatCode="General" sourceLinked="1"/>
        <c:majorTickMark val="none"/>
        <c:minorTickMark val="none"/>
        <c:tickLblPos val="nextTo"/>
        <c:crossAx val="95331456"/>
        <c:crosses val="autoZero"/>
        <c:crossBetween val="midCat"/>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V/T</a:t>
            </a:r>
          </a:p>
        </c:rich>
      </c:tx>
      <c:overlay val="0"/>
    </c:title>
    <c:autoTitleDeleted val="0"/>
    <c:plotArea>
      <c:layout/>
      <c:scatterChart>
        <c:scatterStyle val="smoothMarker"/>
        <c:varyColors val="0"/>
        <c:ser>
          <c:idx val="0"/>
          <c:order val="0"/>
          <c:tx>
            <c:strRef>
              <c:f>'1 ThermistorTableConversion'!$C$7</c:f>
              <c:strCache>
                <c:ptCount val="1"/>
                <c:pt idx="0">
                  <c:v>V DC</c:v>
                </c:pt>
              </c:strCache>
            </c:strRef>
          </c:tx>
          <c:xVal>
            <c:numRef>
              <c:f>'1 ThermistorTableConversion'!$A$8:$A$68</c:f>
              <c:numCache>
                <c:formatCode>General</c:formatCode>
                <c:ptCount val="61"/>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pt idx="25">
                  <c:v>125</c:v>
                </c:pt>
                <c:pt idx="26">
                  <c:v>130</c:v>
                </c:pt>
                <c:pt idx="27">
                  <c:v>135</c:v>
                </c:pt>
                <c:pt idx="28">
                  <c:v>140</c:v>
                </c:pt>
                <c:pt idx="29">
                  <c:v>145</c:v>
                </c:pt>
                <c:pt idx="30">
                  <c:v>150</c:v>
                </c:pt>
                <c:pt idx="31">
                  <c:v>155</c:v>
                </c:pt>
                <c:pt idx="32">
                  <c:v>160</c:v>
                </c:pt>
                <c:pt idx="33">
                  <c:v>165</c:v>
                </c:pt>
                <c:pt idx="34">
                  <c:v>170</c:v>
                </c:pt>
                <c:pt idx="35">
                  <c:v>175</c:v>
                </c:pt>
                <c:pt idx="36">
                  <c:v>180</c:v>
                </c:pt>
                <c:pt idx="37">
                  <c:v>185</c:v>
                </c:pt>
                <c:pt idx="38">
                  <c:v>190</c:v>
                </c:pt>
                <c:pt idx="39">
                  <c:v>195</c:v>
                </c:pt>
                <c:pt idx="40">
                  <c:v>200</c:v>
                </c:pt>
                <c:pt idx="41">
                  <c:v>205</c:v>
                </c:pt>
                <c:pt idx="42">
                  <c:v>210</c:v>
                </c:pt>
                <c:pt idx="43">
                  <c:v>215</c:v>
                </c:pt>
                <c:pt idx="44">
                  <c:v>220</c:v>
                </c:pt>
                <c:pt idx="45">
                  <c:v>225</c:v>
                </c:pt>
                <c:pt idx="46">
                  <c:v>230</c:v>
                </c:pt>
                <c:pt idx="47">
                  <c:v>235</c:v>
                </c:pt>
                <c:pt idx="48">
                  <c:v>240</c:v>
                </c:pt>
                <c:pt idx="49">
                  <c:v>245</c:v>
                </c:pt>
                <c:pt idx="50">
                  <c:v>250</c:v>
                </c:pt>
                <c:pt idx="51">
                  <c:v>255</c:v>
                </c:pt>
                <c:pt idx="52">
                  <c:v>260</c:v>
                </c:pt>
                <c:pt idx="53">
                  <c:v>265</c:v>
                </c:pt>
                <c:pt idx="54">
                  <c:v>270</c:v>
                </c:pt>
                <c:pt idx="55">
                  <c:v>275</c:v>
                </c:pt>
                <c:pt idx="56">
                  <c:v>280</c:v>
                </c:pt>
                <c:pt idx="57">
                  <c:v>285</c:v>
                </c:pt>
                <c:pt idx="58">
                  <c:v>290</c:v>
                </c:pt>
                <c:pt idx="59">
                  <c:v>295</c:v>
                </c:pt>
                <c:pt idx="60">
                  <c:v>300</c:v>
                </c:pt>
              </c:numCache>
            </c:numRef>
          </c:xVal>
          <c:yVal>
            <c:numRef>
              <c:f>'1 ThermistorTableConversion'!$C$8:$C$68</c:f>
              <c:numCache>
                <c:formatCode>General</c:formatCode>
                <c:ptCount val="61"/>
                <c:pt idx="0">
                  <c:v>4.9302877484425993</c:v>
                </c:pt>
                <c:pt idx="1">
                  <c:v>4.910438660009909</c:v>
                </c:pt>
                <c:pt idx="2">
                  <c:v>4.8859057144244309</c:v>
                </c:pt>
                <c:pt idx="3">
                  <c:v>4.8558635917566244</c:v>
                </c:pt>
                <c:pt idx="4">
                  <c:v>4.8193974792499228</c:v>
                </c:pt>
                <c:pt idx="5">
                  <c:v>4.7755491881566376</c:v>
                </c:pt>
                <c:pt idx="6">
                  <c:v>4.7233308609708144</c:v>
                </c:pt>
                <c:pt idx="7">
                  <c:v>4.66175369911912</c:v>
                </c:pt>
                <c:pt idx="8">
                  <c:v>4.5898635205417291</c:v>
                </c:pt>
                <c:pt idx="9">
                  <c:v>4.5068205666316885</c:v>
                </c:pt>
                <c:pt idx="10">
                  <c:v>4.4119413442770625</c:v>
                </c:pt>
                <c:pt idx="11">
                  <c:v>4.3047337278106514</c:v>
                </c:pt>
                <c:pt idx="12">
                  <c:v>4.185046469690664</c:v>
                </c:pt>
                <c:pt idx="13">
                  <c:v>4.0529539775932948</c:v>
                </c:pt>
                <c:pt idx="14">
                  <c:v>3.909057146836266</c:v>
                </c:pt>
                <c:pt idx="15">
                  <c:v>3.7542408821034776</c:v>
                </c:pt>
                <c:pt idx="16">
                  <c:v>3.5896897317409828</c:v>
                </c:pt>
                <c:pt idx="17">
                  <c:v>3.4171886576412738</c:v>
                </c:pt>
                <c:pt idx="18">
                  <c:v>3.238473243532948</c:v>
                </c:pt>
                <c:pt idx="19">
                  <c:v>3.0557141320625152</c:v>
                </c:pt>
                <c:pt idx="20">
                  <c:v>2.8710489839921003</c:v>
                </c:pt>
                <c:pt idx="21">
                  <c:v>2.6866435659158925</c:v>
                </c:pt>
                <c:pt idx="22">
                  <c:v>2.5045131145800146</c:v>
                </c:pt>
                <c:pt idx="23">
                  <c:v>2.3265378095812337</c:v>
                </c:pt>
                <c:pt idx="24">
                  <c:v>2.154309102578075</c:v>
                </c:pt>
                <c:pt idx="25">
                  <c:v>1.9891095451633569</c:v>
                </c:pt>
                <c:pt idx="26">
                  <c:v>1.8319874897208106</c:v>
                </c:pt>
                <c:pt idx="27">
                  <c:v>1.683648269146639</c:v>
                </c:pt>
                <c:pt idx="28">
                  <c:v>1.544524173626632</c:v>
                </c:pt>
                <c:pt idx="29">
                  <c:v>1.4148410325257825</c:v>
                </c:pt>
                <c:pt idx="30">
                  <c:v>1.2944858796259797</c:v>
                </c:pt>
                <c:pt idx="31">
                  <c:v>1.1833920712000388</c:v>
                </c:pt>
                <c:pt idx="32">
                  <c:v>1.0811779812230058</c:v>
                </c:pt>
                <c:pt idx="33">
                  <c:v>0.98743298159341597</c:v>
                </c:pt>
                <c:pt idx="34">
                  <c:v>0.90171081773948847</c:v>
                </c:pt>
                <c:pt idx="35">
                  <c:v>0.82343992151621559</c:v>
                </c:pt>
                <c:pt idx="36">
                  <c:v>0.75217271846485345</c:v>
                </c:pt>
                <c:pt idx="37">
                  <c:v>0.68733747226590969</c:v>
                </c:pt>
                <c:pt idx="38">
                  <c:v>0.62842749886525129</c:v>
                </c:pt>
                <c:pt idx="39">
                  <c:v>0.57492129008933002</c:v>
                </c:pt>
                <c:pt idx="40">
                  <c:v>0.52635736980272174</c:v>
                </c:pt>
                <c:pt idx="41">
                  <c:v>0.48228961407218718</c:v>
                </c:pt>
                <c:pt idx="42">
                  <c:v>0.44230049397704857</c:v>
                </c:pt>
                <c:pt idx="43">
                  <c:v>0.40600191188516171</c:v>
                </c:pt>
                <c:pt idx="44">
                  <c:v>0.37305939219720613</c:v>
                </c:pt>
                <c:pt idx="45">
                  <c:v>0.34313191222893558</c:v>
                </c:pt>
                <c:pt idx="46">
                  <c:v>0.31593518848876123</c:v>
                </c:pt>
                <c:pt idx="47">
                  <c:v>0.29121340421226005</c:v>
                </c:pt>
                <c:pt idx="48">
                  <c:v>0.2687072296166847</c:v>
                </c:pt>
                <c:pt idx="49">
                  <c:v>0.24821504758862076</c:v>
                </c:pt>
                <c:pt idx="50">
                  <c:v>0.22954031038437728</c:v>
                </c:pt>
                <c:pt idx="51">
                  <c:v>0.21250371794924031</c:v>
                </c:pt>
                <c:pt idx="52">
                  <c:v>0.19695548293079734</c:v>
                </c:pt>
                <c:pt idx="53">
                  <c:v>0.18273821359533773</c:v>
                </c:pt>
                <c:pt idx="54">
                  <c:v>0.16973748037063527</c:v>
                </c:pt>
                <c:pt idx="55">
                  <c:v>0.15782402914371785</c:v>
                </c:pt>
                <c:pt idx="56">
                  <c:v>0.14691426352875092</c:v>
                </c:pt>
                <c:pt idx="57">
                  <c:v>0.13690139912381449</c:v>
                </c:pt>
                <c:pt idx="58">
                  <c:v>0.12770593735681157</c:v>
                </c:pt>
                <c:pt idx="59">
                  <c:v>0.11924616237748788</c:v>
                </c:pt>
                <c:pt idx="60">
                  <c:v>0.1114587407117716</c:v>
                </c:pt>
              </c:numCache>
            </c:numRef>
          </c:yVal>
          <c:smooth val="1"/>
        </c:ser>
        <c:dLbls>
          <c:showLegendKey val="0"/>
          <c:showVal val="0"/>
          <c:showCatName val="0"/>
          <c:showSerName val="0"/>
          <c:showPercent val="0"/>
          <c:showBubbleSize val="0"/>
        </c:dLbls>
        <c:axId val="108227584"/>
        <c:axId val="108312448"/>
      </c:scatterChart>
      <c:valAx>
        <c:axId val="108227584"/>
        <c:scaling>
          <c:orientation val="minMax"/>
        </c:scaling>
        <c:delete val="0"/>
        <c:axPos val="b"/>
        <c:title>
          <c:tx>
            <c:rich>
              <a:bodyPr/>
              <a:lstStyle/>
              <a:p>
                <a:pPr>
                  <a:defRPr/>
                </a:pPr>
                <a:r>
                  <a:rPr lang="en-AU"/>
                  <a:t>T (°C)</a:t>
                </a:r>
              </a:p>
            </c:rich>
          </c:tx>
          <c:overlay val="0"/>
        </c:title>
        <c:numFmt formatCode="General" sourceLinked="1"/>
        <c:majorTickMark val="none"/>
        <c:minorTickMark val="none"/>
        <c:tickLblPos val="nextTo"/>
        <c:crossAx val="108312448"/>
        <c:crosses val="autoZero"/>
        <c:crossBetween val="midCat"/>
      </c:valAx>
      <c:valAx>
        <c:axId val="108312448"/>
        <c:scaling>
          <c:orientation val="minMax"/>
        </c:scaling>
        <c:delete val="0"/>
        <c:axPos val="l"/>
        <c:majorGridlines/>
        <c:title>
          <c:tx>
            <c:rich>
              <a:bodyPr/>
              <a:lstStyle/>
              <a:p>
                <a:pPr>
                  <a:defRPr/>
                </a:pPr>
                <a:r>
                  <a:rPr lang="en-AU"/>
                  <a:t>V_measured (V)</a:t>
                </a:r>
              </a:p>
            </c:rich>
          </c:tx>
          <c:overlay val="0"/>
        </c:title>
        <c:numFmt formatCode="General" sourceLinked="1"/>
        <c:majorTickMark val="none"/>
        <c:minorTickMark val="none"/>
        <c:tickLblPos val="nextTo"/>
        <c:crossAx val="108227584"/>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Comparison of Methods</a:t>
            </a:r>
          </a:p>
        </c:rich>
      </c:tx>
      <c:overlay val="0"/>
    </c:title>
    <c:autoTitleDeleted val="0"/>
    <c:plotArea>
      <c:layout/>
      <c:scatterChart>
        <c:scatterStyle val="smoothMarker"/>
        <c:varyColors val="0"/>
        <c:ser>
          <c:idx val="0"/>
          <c:order val="0"/>
          <c:tx>
            <c:v>Thermistor Table</c:v>
          </c:tx>
          <c:marker>
            <c:symbol val="none"/>
          </c:marker>
          <c:xVal>
            <c:numRef>
              <c:f>'1 ThermistorTableConversion'!$A$8:$A$68</c:f>
              <c:numCache>
                <c:formatCode>General</c:formatCode>
                <c:ptCount val="61"/>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pt idx="25">
                  <c:v>125</c:v>
                </c:pt>
                <c:pt idx="26">
                  <c:v>130</c:v>
                </c:pt>
                <c:pt idx="27">
                  <c:v>135</c:v>
                </c:pt>
                <c:pt idx="28">
                  <c:v>140</c:v>
                </c:pt>
                <c:pt idx="29">
                  <c:v>145</c:v>
                </c:pt>
                <c:pt idx="30">
                  <c:v>150</c:v>
                </c:pt>
                <c:pt idx="31">
                  <c:v>155</c:v>
                </c:pt>
                <c:pt idx="32">
                  <c:v>160</c:v>
                </c:pt>
                <c:pt idx="33">
                  <c:v>165</c:v>
                </c:pt>
                <c:pt idx="34">
                  <c:v>170</c:v>
                </c:pt>
                <c:pt idx="35">
                  <c:v>175</c:v>
                </c:pt>
                <c:pt idx="36">
                  <c:v>180</c:v>
                </c:pt>
                <c:pt idx="37">
                  <c:v>185</c:v>
                </c:pt>
                <c:pt idx="38">
                  <c:v>190</c:v>
                </c:pt>
                <c:pt idx="39">
                  <c:v>195</c:v>
                </c:pt>
                <c:pt idx="40">
                  <c:v>200</c:v>
                </c:pt>
                <c:pt idx="41">
                  <c:v>205</c:v>
                </c:pt>
                <c:pt idx="42">
                  <c:v>210</c:v>
                </c:pt>
                <c:pt idx="43">
                  <c:v>215</c:v>
                </c:pt>
                <c:pt idx="44">
                  <c:v>220</c:v>
                </c:pt>
                <c:pt idx="45">
                  <c:v>225</c:v>
                </c:pt>
                <c:pt idx="46">
                  <c:v>230</c:v>
                </c:pt>
                <c:pt idx="47">
                  <c:v>235</c:v>
                </c:pt>
                <c:pt idx="48">
                  <c:v>240</c:v>
                </c:pt>
                <c:pt idx="49">
                  <c:v>245</c:v>
                </c:pt>
                <c:pt idx="50">
                  <c:v>250</c:v>
                </c:pt>
                <c:pt idx="51">
                  <c:v>255</c:v>
                </c:pt>
                <c:pt idx="52">
                  <c:v>260</c:v>
                </c:pt>
                <c:pt idx="53">
                  <c:v>265</c:v>
                </c:pt>
                <c:pt idx="54">
                  <c:v>270</c:v>
                </c:pt>
                <c:pt idx="55">
                  <c:v>275</c:v>
                </c:pt>
                <c:pt idx="56">
                  <c:v>280</c:v>
                </c:pt>
                <c:pt idx="57">
                  <c:v>285</c:v>
                </c:pt>
                <c:pt idx="58">
                  <c:v>290</c:v>
                </c:pt>
                <c:pt idx="59">
                  <c:v>295</c:v>
                </c:pt>
                <c:pt idx="60">
                  <c:v>300</c:v>
                </c:pt>
              </c:numCache>
            </c:numRef>
          </c:xVal>
          <c:yVal>
            <c:numRef>
              <c:f>'1 ThermistorTableConversion'!$B$8:$B$68</c:f>
              <c:numCache>
                <c:formatCode>General</c:formatCode>
                <c:ptCount val="61"/>
                <c:pt idx="0">
                  <c:v>332.4</c:v>
                </c:pt>
                <c:pt idx="1">
                  <c:v>257.69</c:v>
                </c:pt>
                <c:pt idx="2">
                  <c:v>201.27</c:v>
                </c:pt>
                <c:pt idx="3">
                  <c:v>158.34</c:v>
                </c:pt>
                <c:pt idx="4">
                  <c:v>125.42</c:v>
                </c:pt>
                <c:pt idx="5">
                  <c:v>100</c:v>
                </c:pt>
                <c:pt idx="6">
                  <c:v>80.239000000000004</c:v>
                </c:pt>
                <c:pt idx="7">
                  <c:v>64.775999999999996</c:v>
                </c:pt>
                <c:pt idx="8">
                  <c:v>52.597999999999999</c:v>
                </c:pt>
                <c:pt idx="9">
                  <c:v>42.95</c:v>
                </c:pt>
                <c:pt idx="10">
                  <c:v>35.262</c:v>
                </c:pt>
                <c:pt idx="11">
                  <c:v>29.099999999999998</c:v>
                </c:pt>
                <c:pt idx="12">
                  <c:v>24.135999999999999</c:v>
                </c:pt>
                <c:pt idx="13">
                  <c:v>20.114000000000001</c:v>
                </c:pt>
                <c:pt idx="14">
                  <c:v>16.841000000000001</c:v>
                </c:pt>
                <c:pt idx="15">
                  <c:v>14.163999999999998</c:v>
                </c:pt>
                <c:pt idx="16">
                  <c:v>11.962999999999999</c:v>
                </c:pt>
                <c:pt idx="17">
                  <c:v>10.147</c:v>
                </c:pt>
                <c:pt idx="18">
                  <c:v>8.6406999999999989</c:v>
                </c:pt>
                <c:pt idx="19">
                  <c:v>7.3867000000000003</c:v>
                </c:pt>
                <c:pt idx="20">
                  <c:v>6.3382999999999994</c:v>
                </c:pt>
                <c:pt idx="21">
                  <c:v>5.4584000000000001</c:v>
                </c:pt>
                <c:pt idx="22">
                  <c:v>4.7169999999999996</c:v>
                </c:pt>
                <c:pt idx="23">
                  <c:v>4.0900999999999996</c:v>
                </c:pt>
                <c:pt idx="24">
                  <c:v>3.5581</c:v>
                </c:pt>
                <c:pt idx="25">
                  <c:v>3.105</c:v>
                </c:pt>
                <c:pt idx="26">
                  <c:v>2.7178999999999998</c:v>
                </c:pt>
                <c:pt idx="27">
                  <c:v>2.3860999999999999</c:v>
                </c:pt>
                <c:pt idx="28">
                  <c:v>2.1008</c:v>
                </c:pt>
                <c:pt idx="29">
                  <c:v>1.8547999999999998</c:v>
                </c:pt>
                <c:pt idx="30">
                  <c:v>1.6418999999999999</c:v>
                </c:pt>
                <c:pt idx="31">
                  <c:v>1.4572999999999998</c:v>
                </c:pt>
                <c:pt idx="32">
                  <c:v>1.2967</c:v>
                </c:pt>
                <c:pt idx="33">
                  <c:v>1.1566000000000001</c:v>
                </c:pt>
                <c:pt idx="34">
                  <c:v>1.0341</c:v>
                </c:pt>
                <c:pt idx="35">
                  <c:v>0.92663999999999991</c:v>
                </c:pt>
                <c:pt idx="36">
                  <c:v>0.83224000000000009</c:v>
                </c:pt>
                <c:pt idx="37">
                  <c:v>0.74907000000000001</c:v>
                </c:pt>
                <c:pt idx="38">
                  <c:v>0.67564000000000002</c:v>
                </c:pt>
                <c:pt idx="39">
                  <c:v>0.61063999999999996</c:v>
                </c:pt>
                <c:pt idx="40">
                  <c:v>0.55298999999999998</c:v>
                </c:pt>
                <c:pt idx="41">
                  <c:v>0.50175000000000003</c:v>
                </c:pt>
                <c:pt idx="42">
                  <c:v>0.45611000000000002</c:v>
                </c:pt>
                <c:pt idx="43">
                  <c:v>0.41536999999999996</c:v>
                </c:pt>
                <c:pt idx="44">
                  <c:v>0.37895000000000001</c:v>
                </c:pt>
                <c:pt idx="45">
                  <c:v>0.34631000000000001</c:v>
                </c:pt>
                <c:pt idx="46">
                  <c:v>0.31701000000000001</c:v>
                </c:pt>
                <c:pt idx="47">
                  <c:v>0.29066999999999998</c:v>
                </c:pt>
                <c:pt idx="48">
                  <c:v>0.26693</c:v>
                </c:pt>
                <c:pt idx="49">
                  <c:v>0.24551000000000001</c:v>
                </c:pt>
                <c:pt idx="50">
                  <c:v>0.22615000000000002</c:v>
                </c:pt>
                <c:pt idx="51">
                  <c:v>0.20861999999999997</c:v>
                </c:pt>
                <c:pt idx="52">
                  <c:v>0.19273000000000001</c:v>
                </c:pt>
                <c:pt idx="53">
                  <c:v>0.17829</c:v>
                </c:pt>
                <c:pt idx="54">
                  <c:v>0.16516</c:v>
                </c:pt>
                <c:pt idx="55">
                  <c:v>0.15319000000000002</c:v>
                </c:pt>
                <c:pt idx="56">
                  <c:v>0.14228000000000002</c:v>
                </c:pt>
                <c:pt idx="57">
                  <c:v>0.13231000000000001</c:v>
                </c:pt>
                <c:pt idx="58">
                  <c:v>0.12318999999999999</c:v>
                </c:pt>
                <c:pt idx="59">
                  <c:v>0.11483000000000002</c:v>
                </c:pt>
                <c:pt idx="60">
                  <c:v>0.10716000000000001</c:v>
                </c:pt>
              </c:numCache>
            </c:numRef>
          </c:yVal>
          <c:smooth val="1"/>
        </c:ser>
        <c:ser>
          <c:idx val="1"/>
          <c:order val="1"/>
          <c:tx>
            <c:v>Steinhart-Hart</c:v>
          </c:tx>
          <c:marker>
            <c:symbol val="none"/>
          </c:marker>
          <c:xVal>
            <c:numRef>
              <c:f>'3 Thermistor from SteinhartHart'!$A$10:$A$70</c:f>
              <c:numCache>
                <c:formatCode>General</c:formatCode>
                <c:ptCount val="61"/>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pt idx="25">
                  <c:v>125</c:v>
                </c:pt>
                <c:pt idx="26">
                  <c:v>130</c:v>
                </c:pt>
                <c:pt idx="27">
                  <c:v>135</c:v>
                </c:pt>
                <c:pt idx="28">
                  <c:v>140</c:v>
                </c:pt>
                <c:pt idx="29">
                  <c:v>145</c:v>
                </c:pt>
                <c:pt idx="30">
                  <c:v>150</c:v>
                </c:pt>
                <c:pt idx="31">
                  <c:v>155</c:v>
                </c:pt>
                <c:pt idx="32">
                  <c:v>160</c:v>
                </c:pt>
                <c:pt idx="33">
                  <c:v>165</c:v>
                </c:pt>
                <c:pt idx="34">
                  <c:v>170</c:v>
                </c:pt>
                <c:pt idx="35">
                  <c:v>175</c:v>
                </c:pt>
                <c:pt idx="36">
                  <c:v>180</c:v>
                </c:pt>
                <c:pt idx="37">
                  <c:v>185</c:v>
                </c:pt>
                <c:pt idx="38">
                  <c:v>190</c:v>
                </c:pt>
                <c:pt idx="39">
                  <c:v>195</c:v>
                </c:pt>
                <c:pt idx="40">
                  <c:v>200</c:v>
                </c:pt>
                <c:pt idx="41">
                  <c:v>205</c:v>
                </c:pt>
                <c:pt idx="42">
                  <c:v>210</c:v>
                </c:pt>
                <c:pt idx="43">
                  <c:v>215</c:v>
                </c:pt>
                <c:pt idx="44">
                  <c:v>220</c:v>
                </c:pt>
                <c:pt idx="45">
                  <c:v>225</c:v>
                </c:pt>
                <c:pt idx="46">
                  <c:v>230</c:v>
                </c:pt>
                <c:pt idx="47">
                  <c:v>235</c:v>
                </c:pt>
                <c:pt idx="48">
                  <c:v>240</c:v>
                </c:pt>
                <c:pt idx="49">
                  <c:v>245</c:v>
                </c:pt>
                <c:pt idx="50">
                  <c:v>250</c:v>
                </c:pt>
                <c:pt idx="51">
                  <c:v>255</c:v>
                </c:pt>
                <c:pt idx="52">
                  <c:v>260</c:v>
                </c:pt>
                <c:pt idx="53">
                  <c:v>265</c:v>
                </c:pt>
                <c:pt idx="54">
                  <c:v>270</c:v>
                </c:pt>
                <c:pt idx="55">
                  <c:v>275</c:v>
                </c:pt>
                <c:pt idx="56">
                  <c:v>280</c:v>
                </c:pt>
                <c:pt idx="57">
                  <c:v>285</c:v>
                </c:pt>
                <c:pt idx="58">
                  <c:v>290</c:v>
                </c:pt>
                <c:pt idx="59">
                  <c:v>295</c:v>
                </c:pt>
                <c:pt idx="60">
                  <c:v>300</c:v>
                </c:pt>
              </c:numCache>
            </c:numRef>
          </c:xVal>
          <c:yVal>
            <c:numRef>
              <c:f>'3 Thermistor from SteinhartHart'!$E$10:$E$70</c:f>
              <c:numCache>
                <c:formatCode>General</c:formatCode>
                <c:ptCount val="61"/>
                <c:pt idx="0">
                  <c:v>307.58714114316274</c:v>
                </c:pt>
                <c:pt idx="1">
                  <c:v>243.39349551719661</c:v>
                </c:pt>
                <c:pt idx="2">
                  <c:v>193.51515302672064</c:v>
                </c:pt>
                <c:pt idx="3">
                  <c:v>154.57990181492349</c:v>
                </c:pt>
                <c:pt idx="4">
                  <c:v>124.04849371419556</c:v>
                </c:pt>
                <c:pt idx="5">
                  <c:v>100.00000000000023</c:v>
                </c:pt>
                <c:pt idx="6">
                  <c:v>80.97465674689542</c:v>
                </c:pt>
                <c:pt idx="7">
                  <c:v>65.85824019503869</c:v>
                </c:pt>
                <c:pt idx="8">
                  <c:v>53.796594556647754</c:v>
                </c:pt>
                <c:pt idx="9">
                  <c:v>44.132158703152072</c:v>
                </c:pt>
                <c:pt idx="10">
                  <c:v>36.356619011908293</c:v>
                </c:pt>
                <c:pt idx="11">
                  <c:v>30.075437724878295</c:v>
                </c:pt>
                <c:pt idx="12">
                  <c:v>24.98116561388396</c:v>
                </c:pt>
                <c:pt idx="13">
                  <c:v>20.83328058197959</c:v>
                </c:pt>
                <c:pt idx="14">
                  <c:v>17.442894911246515</c:v>
                </c:pt>
                <c:pt idx="15">
                  <c:v>14.661109687763208</c:v>
                </c:pt>
                <c:pt idx="16">
                  <c:v>12.370112346678011</c:v>
                </c:pt>
                <c:pt idx="17">
                  <c:v>10.476345460252929</c:v>
                </c:pt>
                <c:pt idx="18">
                  <c:v>8.9052454442202311</c:v>
                </c:pt>
                <c:pt idx="19">
                  <c:v>7.5971756558171641</c:v>
                </c:pt>
                <c:pt idx="20">
                  <c:v>6.5042715159363089</c:v>
                </c:pt>
                <c:pt idx="21">
                  <c:v>5.5879845455137325</c:v>
                </c:pt>
                <c:pt idx="22">
                  <c:v>4.8171638908203125</c:v>
                </c:pt>
                <c:pt idx="23">
                  <c:v>4.1665526259767702</c:v>
                </c:pt>
                <c:pt idx="24">
                  <c:v>3.615605224284435</c:v>
                </c:pt>
                <c:pt idx="25">
                  <c:v>3.1475545462369756</c:v>
                </c:pt>
                <c:pt idx="26">
                  <c:v>2.7486733140448525</c:v>
                </c:pt>
                <c:pt idx="27">
                  <c:v>2.407687668976028</c:v>
                </c:pt>
                <c:pt idx="28">
                  <c:v>2.115310031218554</c:v>
                </c:pt>
                <c:pt idx="29">
                  <c:v>1.8638658405662394</c:v>
                </c:pt>
                <c:pt idx="30">
                  <c:v>1.6469944011096846</c:v>
                </c:pt>
                <c:pt idx="31">
                  <c:v>1.4594083970564509</c:v>
                </c:pt>
                <c:pt idx="32">
                  <c:v>1.2966999999999962</c:v>
                </c:pt>
                <c:pt idx="33">
                  <c:v>1.1551840842751822</c:v>
                </c:pt>
                <c:pt idx="34">
                  <c:v>1.0317710833570697</c:v>
                </c:pt>
                <c:pt idx="35">
                  <c:v>0.92386359078067604</c:v>
                </c:pt>
                <c:pt idx="36">
                  <c:v>0.82927203590801868</c:v>
                </c:pt>
                <c:pt idx="37">
                  <c:v>0.74614572600155726</c:v>
                </c:pt>
                <c:pt idx="38">
                  <c:v>0.67291630116029011</c:v>
                </c:pt>
                <c:pt idx="39">
                  <c:v>0.60825124355793303</c:v>
                </c:pt>
                <c:pt idx="40">
                  <c:v>0.55101555237506017</c:v>
                </c:pt>
                <c:pt idx="41">
                  <c:v>0.50024006808256871</c:v>
                </c:pt>
                <c:pt idx="42">
                  <c:v>0.45509522540745828</c:v>
                </c:pt>
                <c:pt idx="43">
                  <c:v>0.41486924977255363</c:v>
                </c:pt>
                <c:pt idx="44">
                  <c:v>0.37894999999999973</c:v>
                </c:pt>
                <c:pt idx="45">
                  <c:v>0.34680981055765114</c:v>
                </c:pt>
                <c:pt idx="46">
                  <c:v>0.31799280739708957</c:v>
                </c:pt>
                <c:pt idx="47">
                  <c:v>0.29210426859402561</c:v>
                </c:pt>
                <c:pt idx="48">
                  <c:v>0.26880167936426608</c:v>
                </c:pt>
                <c:pt idx="49">
                  <c:v>0.24778719438292601</c:v>
                </c:pt>
                <c:pt idx="50">
                  <c:v>0.22880127167870812</c:v>
                </c:pt>
                <c:pt idx="51">
                  <c:v>0.21161728408469263</c:v>
                </c:pt>
                <c:pt idx="52">
                  <c:v>0.19603694818931938</c:v>
                </c:pt>
                <c:pt idx="53">
                  <c:v>0.18188643844932528</c:v>
                </c:pt>
                <c:pt idx="54">
                  <c:v>0.16901307679973449</c:v>
                </c:pt>
                <c:pt idx="55">
                  <c:v>0.15728250668476457</c:v>
                </c:pt>
                <c:pt idx="56">
                  <c:v>0.1465762757070736</c:v>
                </c:pt>
                <c:pt idx="57">
                  <c:v>0.13678976367020568</c:v>
                </c:pt>
                <c:pt idx="58">
                  <c:v>0.12783040316838468</c:v>
                </c:pt>
                <c:pt idx="59">
                  <c:v>0.1196161484616107</c:v>
                </c:pt>
                <c:pt idx="60">
                  <c:v>0.11207415548770615</c:v>
                </c:pt>
              </c:numCache>
            </c:numRef>
          </c:yVal>
          <c:smooth val="1"/>
        </c:ser>
        <c:ser>
          <c:idx val="2"/>
          <c:order val="2"/>
          <c:tx>
            <c:v>Beta</c:v>
          </c:tx>
          <c:marker>
            <c:symbol val="none"/>
          </c:marker>
          <c:xVal>
            <c:numRef>
              <c:f>'2 Thermistor from Beta'!$A$8:$A$68</c:f>
              <c:numCache>
                <c:formatCode>General</c:formatCode>
                <c:ptCount val="61"/>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pt idx="25">
                  <c:v>125</c:v>
                </c:pt>
                <c:pt idx="26">
                  <c:v>130</c:v>
                </c:pt>
                <c:pt idx="27">
                  <c:v>135</c:v>
                </c:pt>
                <c:pt idx="28">
                  <c:v>140</c:v>
                </c:pt>
                <c:pt idx="29">
                  <c:v>145</c:v>
                </c:pt>
                <c:pt idx="30">
                  <c:v>150</c:v>
                </c:pt>
                <c:pt idx="31">
                  <c:v>155</c:v>
                </c:pt>
                <c:pt idx="32">
                  <c:v>160</c:v>
                </c:pt>
                <c:pt idx="33">
                  <c:v>165</c:v>
                </c:pt>
                <c:pt idx="34">
                  <c:v>170</c:v>
                </c:pt>
                <c:pt idx="35">
                  <c:v>175</c:v>
                </c:pt>
                <c:pt idx="36">
                  <c:v>180</c:v>
                </c:pt>
                <c:pt idx="37">
                  <c:v>185</c:v>
                </c:pt>
                <c:pt idx="38">
                  <c:v>190</c:v>
                </c:pt>
                <c:pt idx="39">
                  <c:v>195</c:v>
                </c:pt>
                <c:pt idx="40">
                  <c:v>200</c:v>
                </c:pt>
                <c:pt idx="41">
                  <c:v>205</c:v>
                </c:pt>
                <c:pt idx="42">
                  <c:v>210</c:v>
                </c:pt>
                <c:pt idx="43">
                  <c:v>215</c:v>
                </c:pt>
                <c:pt idx="44">
                  <c:v>220</c:v>
                </c:pt>
                <c:pt idx="45">
                  <c:v>225</c:v>
                </c:pt>
                <c:pt idx="46">
                  <c:v>230</c:v>
                </c:pt>
                <c:pt idx="47">
                  <c:v>235</c:v>
                </c:pt>
                <c:pt idx="48">
                  <c:v>240</c:v>
                </c:pt>
                <c:pt idx="49">
                  <c:v>245</c:v>
                </c:pt>
                <c:pt idx="50">
                  <c:v>250</c:v>
                </c:pt>
                <c:pt idx="51">
                  <c:v>255</c:v>
                </c:pt>
                <c:pt idx="52">
                  <c:v>260</c:v>
                </c:pt>
                <c:pt idx="53">
                  <c:v>265</c:v>
                </c:pt>
                <c:pt idx="54">
                  <c:v>270</c:v>
                </c:pt>
                <c:pt idx="55">
                  <c:v>275</c:v>
                </c:pt>
                <c:pt idx="56">
                  <c:v>280</c:v>
                </c:pt>
                <c:pt idx="57">
                  <c:v>285</c:v>
                </c:pt>
                <c:pt idx="58">
                  <c:v>290</c:v>
                </c:pt>
                <c:pt idx="59">
                  <c:v>295</c:v>
                </c:pt>
                <c:pt idx="60">
                  <c:v>300</c:v>
                </c:pt>
              </c:numCache>
            </c:numRef>
          </c:xVal>
          <c:yVal>
            <c:numRef>
              <c:f>'2 Thermistor from Beta'!$C$8:$C$68</c:f>
              <c:numCache>
                <c:formatCode>General</c:formatCode>
                <c:ptCount val="61"/>
                <c:pt idx="0">
                  <c:v>351.18555362818176</c:v>
                </c:pt>
                <c:pt idx="1">
                  <c:v>268.27740627859532</c:v>
                </c:pt>
                <c:pt idx="2">
                  <c:v>206.90070228536021</c:v>
                </c:pt>
                <c:pt idx="3">
                  <c:v>161.01088111215768</c:v>
                </c:pt>
                <c:pt idx="4">
                  <c:v>126.37569008032715</c:v>
                </c:pt>
                <c:pt idx="5">
                  <c:v>100</c:v>
                </c:pt>
                <c:pt idx="6">
                  <c:v>79.742533969295764</c:v>
                </c:pt>
                <c:pt idx="7">
                  <c:v>64.057560065350927</c:v>
                </c:pt>
                <c:pt idx="8">
                  <c:v>51.818908794365214</c:v>
                </c:pt>
                <c:pt idx="9">
                  <c:v>42.198832281652379</c:v>
                </c:pt>
                <c:pt idx="10">
                  <c:v>34.583787569716833</c:v>
                </c:pt>
                <c:pt idx="11">
                  <c:v>28.515334350813141</c:v>
                </c:pt>
                <c:pt idx="12">
                  <c:v>23.648281555783672</c:v>
                </c:pt>
                <c:pt idx="13">
                  <c:v>19.720791459989798</c:v>
                </c:pt>
                <c:pt idx="14">
                  <c:v>16.532847448930958</c:v>
                </c:pt>
                <c:pt idx="15">
                  <c:v>13.9306219863424</c:v>
                </c:pt>
                <c:pt idx="16">
                  <c:v>11.795041228168191</c:v>
                </c:pt>
                <c:pt idx="17">
                  <c:v>10.033358209849821</c:v>
                </c:pt>
                <c:pt idx="18">
                  <c:v>8.5728992729980682</c:v>
                </c:pt>
                <c:pt idx="19">
                  <c:v>7.3563917994962607</c:v>
                </c:pt>
                <c:pt idx="20">
                  <c:v>6.3384506340711759</c:v>
                </c:pt>
                <c:pt idx="21">
                  <c:v>5.4829192681488497</c:v>
                </c:pt>
                <c:pt idx="22">
                  <c:v>4.7608456862063431</c:v>
                </c:pt>
                <c:pt idx="23">
                  <c:v>4.1489324084806993</c:v>
                </c:pt>
                <c:pt idx="24">
                  <c:v>3.6283429796219324</c:v>
                </c:pt>
                <c:pt idx="25">
                  <c:v>3.1837779560929347</c:v>
                </c:pt>
                <c:pt idx="26">
                  <c:v>2.8027558018324976</c:v>
                </c:pt>
                <c:pt idx="27">
                  <c:v>2.4750504294910991</c:v>
                </c:pt>
                <c:pt idx="28">
                  <c:v>2.1922491212866708</c:v>
                </c:pt>
                <c:pt idx="29">
                  <c:v>1.9474034295312521</c:v>
                </c:pt>
                <c:pt idx="30">
                  <c:v>1.7347522461687823</c:v>
                </c:pt>
                <c:pt idx="31">
                  <c:v>1.5495011546403632</c:v>
                </c:pt>
                <c:pt idx="32">
                  <c:v>1.3876458763936212</c:v>
                </c:pt>
                <c:pt idx="33">
                  <c:v>1.2458304173561769</c:v>
                </c:pt>
                <c:pt idx="34">
                  <c:v>1.121232639070237</c:v>
                </c:pt>
                <c:pt idx="35">
                  <c:v>1.0114715951376221</c:v>
                </c:pt>
                <c:pt idx="36">
                  <c:v>0.91453221147759745</c:v>
                </c:pt>
                <c:pt idx="37">
                  <c:v>0.82870384140973463</c:v>
                </c:pt>
                <c:pt idx="38">
                  <c:v>0.75252996273279338</c:v>
                </c:pt>
                <c:pt idx="39">
                  <c:v>0.68476685534356441</c:v>
                </c:pt>
                <c:pt idx="40">
                  <c:v>0.62434954324782965</c:v>
                </c:pt>
                <c:pt idx="41">
                  <c:v>0.57036363326776374</c:v>
                </c:pt>
                <c:pt idx="42">
                  <c:v>0.52202195647755467</c:v>
                </c:pt>
                <c:pt idx="43">
                  <c:v>0.47864513424240307</c:v>
                </c:pt>
                <c:pt idx="44">
                  <c:v>0.43964536156405748</c:v>
                </c:pt>
                <c:pt idx="45">
                  <c:v>0.40451283612231947</c:v>
                </c:pt>
                <c:pt idx="46">
                  <c:v>0.37280436955212215</c:v>
                </c:pt>
                <c:pt idx="47">
                  <c:v>0.34413380399108839</c:v>
                </c:pt>
                <c:pt idx="48">
                  <c:v>0.31816392633791962</c:v>
                </c:pt>
                <c:pt idx="49">
                  <c:v>0.29459962853367899</c:v>
                </c:pt>
                <c:pt idx="50">
                  <c:v>0.27318210729636744</c:v>
                </c:pt>
                <c:pt idx="51">
                  <c:v>0.25368393328525279</c:v>
                </c:pt>
                <c:pt idx="52">
                  <c:v>0.23590484936225575</c:v>
                </c:pt>
                <c:pt idx="53">
                  <c:v>0.21966818180936404</c:v>
                </c:pt>
                <c:pt idx="54">
                  <c:v>0.20481776812796412</c:v>
                </c:pt>
                <c:pt idx="55">
                  <c:v>0.19121532124218626</c:v>
                </c:pt>
                <c:pt idx="56">
                  <c:v>0.1787381632346727</c:v>
                </c:pt>
                <c:pt idx="57">
                  <c:v>0.16727727270409323</c:v>
                </c:pt>
                <c:pt idx="58">
                  <c:v>0.1567355988858524</c:v>
                </c:pt>
                <c:pt idx="59">
                  <c:v>0.14702660317198177</c:v>
                </c:pt>
                <c:pt idx="60">
                  <c:v>0.13807299488640329</c:v>
                </c:pt>
              </c:numCache>
            </c:numRef>
          </c:yVal>
          <c:smooth val="1"/>
        </c:ser>
        <c:dLbls>
          <c:showLegendKey val="0"/>
          <c:showVal val="0"/>
          <c:showCatName val="0"/>
          <c:showSerName val="0"/>
          <c:showPercent val="0"/>
          <c:showBubbleSize val="0"/>
        </c:dLbls>
        <c:axId val="87072768"/>
        <c:axId val="87074688"/>
      </c:scatterChart>
      <c:valAx>
        <c:axId val="87072768"/>
        <c:scaling>
          <c:orientation val="minMax"/>
        </c:scaling>
        <c:delete val="0"/>
        <c:axPos val="b"/>
        <c:title>
          <c:tx>
            <c:rich>
              <a:bodyPr/>
              <a:lstStyle/>
              <a:p>
                <a:pPr>
                  <a:defRPr/>
                </a:pPr>
                <a:r>
                  <a:rPr lang="en-AU"/>
                  <a:t>T</a:t>
                </a:r>
                <a:r>
                  <a:rPr lang="en-AU" baseline="0"/>
                  <a:t> (°C)</a:t>
                </a:r>
                <a:endParaRPr lang="en-AU"/>
              </a:p>
            </c:rich>
          </c:tx>
          <c:overlay val="0"/>
        </c:title>
        <c:numFmt formatCode="General" sourceLinked="1"/>
        <c:majorTickMark val="none"/>
        <c:minorTickMark val="none"/>
        <c:tickLblPos val="nextTo"/>
        <c:crossAx val="87074688"/>
        <c:crosses val="autoZero"/>
        <c:crossBetween val="midCat"/>
      </c:valAx>
      <c:valAx>
        <c:axId val="87074688"/>
        <c:scaling>
          <c:logBase val="10"/>
          <c:orientation val="minMax"/>
        </c:scaling>
        <c:delete val="0"/>
        <c:axPos val="l"/>
        <c:majorGridlines/>
        <c:title>
          <c:tx>
            <c:rich>
              <a:bodyPr/>
              <a:lstStyle/>
              <a:p>
                <a:pPr>
                  <a:defRPr/>
                </a:pPr>
                <a:r>
                  <a:rPr lang="en-AU"/>
                  <a:t>R (kOhm)</a:t>
                </a:r>
              </a:p>
            </c:rich>
          </c:tx>
          <c:overlay val="0"/>
        </c:title>
        <c:numFmt formatCode="General" sourceLinked="1"/>
        <c:majorTickMark val="none"/>
        <c:minorTickMark val="none"/>
        <c:tickLblPos val="nextTo"/>
        <c:crossAx val="87072768"/>
        <c:crosses val="autoZero"/>
        <c:crossBetween val="midCat"/>
      </c:valAx>
    </c:plotArea>
    <c:legend>
      <c:legendPos val="r"/>
      <c:overlay val="0"/>
    </c:legend>
    <c:plotVisOnly val="1"/>
    <c:dispBlanksAs val="gap"/>
    <c:showDLblsOverMax val="0"/>
  </c:char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Comparison of Methods</a:t>
            </a:r>
          </a:p>
        </c:rich>
      </c:tx>
      <c:overlay val="0"/>
    </c:title>
    <c:autoTitleDeleted val="0"/>
    <c:plotArea>
      <c:layout/>
      <c:scatterChart>
        <c:scatterStyle val="smoothMarker"/>
        <c:varyColors val="0"/>
        <c:ser>
          <c:idx val="0"/>
          <c:order val="0"/>
          <c:tx>
            <c:v>Thermistor Table</c:v>
          </c:tx>
          <c:marker>
            <c:symbol val="none"/>
          </c:marker>
          <c:xVal>
            <c:numRef>
              <c:f>'1 ThermistorTableConversion'!$E$8:$E$68</c:f>
              <c:numCache>
                <c:formatCode>General</c:formatCode>
                <c:ptCount val="61"/>
                <c:pt idx="0">
                  <c:v>16140</c:v>
                </c:pt>
                <c:pt idx="1">
                  <c:v>16075</c:v>
                </c:pt>
                <c:pt idx="2">
                  <c:v>15995</c:v>
                </c:pt>
                <c:pt idx="3">
                  <c:v>15896</c:v>
                </c:pt>
                <c:pt idx="4">
                  <c:v>15777</c:v>
                </c:pt>
                <c:pt idx="5">
                  <c:v>15633</c:v>
                </c:pt>
                <c:pt idx="6">
                  <c:v>15462</c:v>
                </c:pt>
                <c:pt idx="7">
                  <c:v>15261</c:v>
                </c:pt>
                <c:pt idx="8">
                  <c:v>15025</c:v>
                </c:pt>
                <c:pt idx="9">
                  <c:v>14754</c:v>
                </c:pt>
                <c:pt idx="10">
                  <c:v>14443</c:v>
                </c:pt>
                <c:pt idx="11">
                  <c:v>14092</c:v>
                </c:pt>
                <c:pt idx="12">
                  <c:v>13700</c:v>
                </c:pt>
                <c:pt idx="13">
                  <c:v>13268</c:v>
                </c:pt>
                <c:pt idx="14">
                  <c:v>12797</c:v>
                </c:pt>
                <c:pt idx="15">
                  <c:v>12290</c:v>
                </c:pt>
                <c:pt idx="16">
                  <c:v>11751</c:v>
                </c:pt>
                <c:pt idx="17">
                  <c:v>11187</c:v>
                </c:pt>
                <c:pt idx="18">
                  <c:v>10601</c:v>
                </c:pt>
                <c:pt idx="19">
                  <c:v>10003</c:v>
                </c:pt>
                <c:pt idx="20">
                  <c:v>9399</c:v>
                </c:pt>
                <c:pt idx="21">
                  <c:v>8795</c:v>
                </c:pt>
                <c:pt idx="22">
                  <c:v>8199</c:v>
                </c:pt>
                <c:pt idx="23">
                  <c:v>7616</c:v>
                </c:pt>
                <c:pt idx="24">
                  <c:v>7052</c:v>
                </c:pt>
                <c:pt idx="25">
                  <c:v>6512</c:v>
                </c:pt>
                <c:pt idx="26">
                  <c:v>5997</c:v>
                </c:pt>
                <c:pt idx="27">
                  <c:v>5512</c:v>
                </c:pt>
                <c:pt idx="28">
                  <c:v>5056</c:v>
                </c:pt>
                <c:pt idx="29">
                  <c:v>4632</c:v>
                </c:pt>
                <c:pt idx="30">
                  <c:v>4238</c:v>
                </c:pt>
                <c:pt idx="31">
                  <c:v>3874</c:v>
                </c:pt>
                <c:pt idx="32">
                  <c:v>3539</c:v>
                </c:pt>
                <c:pt idx="33">
                  <c:v>3232</c:v>
                </c:pt>
                <c:pt idx="34">
                  <c:v>2952</c:v>
                </c:pt>
                <c:pt idx="35">
                  <c:v>2696</c:v>
                </c:pt>
                <c:pt idx="36">
                  <c:v>2462</c:v>
                </c:pt>
                <c:pt idx="37">
                  <c:v>2250</c:v>
                </c:pt>
                <c:pt idx="38">
                  <c:v>2057</c:v>
                </c:pt>
                <c:pt idx="39">
                  <c:v>1882</c:v>
                </c:pt>
                <c:pt idx="40">
                  <c:v>1723</c:v>
                </c:pt>
                <c:pt idx="41">
                  <c:v>1579</c:v>
                </c:pt>
                <c:pt idx="42">
                  <c:v>1448</c:v>
                </c:pt>
                <c:pt idx="43">
                  <c:v>1329</c:v>
                </c:pt>
                <c:pt idx="44">
                  <c:v>1221</c:v>
                </c:pt>
                <c:pt idx="45">
                  <c:v>1123</c:v>
                </c:pt>
                <c:pt idx="46">
                  <c:v>1034</c:v>
                </c:pt>
                <c:pt idx="47">
                  <c:v>953</c:v>
                </c:pt>
                <c:pt idx="48">
                  <c:v>880</c:v>
                </c:pt>
                <c:pt idx="49">
                  <c:v>813</c:v>
                </c:pt>
                <c:pt idx="50">
                  <c:v>751</c:v>
                </c:pt>
                <c:pt idx="51">
                  <c:v>696</c:v>
                </c:pt>
                <c:pt idx="52">
                  <c:v>645</c:v>
                </c:pt>
                <c:pt idx="53">
                  <c:v>598</c:v>
                </c:pt>
                <c:pt idx="54">
                  <c:v>556</c:v>
                </c:pt>
                <c:pt idx="55">
                  <c:v>517</c:v>
                </c:pt>
                <c:pt idx="56">
                  <c:v>481</c:v>
                </c:pt>
                <c:pt idx="57">
                  <c:v>448</c:v>
                </c:pt>
                <c:pt idx="58">
                  <c:v>418</c:v>
                </c:pt>
                <c:pt idx="59">
                  <c:v>390</c:v>
                </c:pt>
                <c:pt idx="60">
                  <c:v>365</c:v>
                </c:pt>
              </c:numCache>
            </c:numRef>
          </c:xVal>
          <c:yVal>
            <c:numRef>
              <c:f>'1 ThermistorTableConversion'!$A$8:$A$68</c:f>
              <c:numCache>
                <c:formatCode>General</c:formatCode>
                <c:ptCount val="61"/>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pt idx="25">
                  <c:v>125</c:v>
                </c:pt>
                <c:pt idx="26">
                  <c:v>130</c:v>
                </c:pt>
                <c:pt idx="27">
                  <c:v>135</c:v>
                </c:pt>
                <c:pt idx="28">
                  <c:v>140</c:v>
                </c:pt>
                <c:pt idx="29">
                  <c:v>145</c:v>
                </c:pt>
                <c:pt idx="30">
                  <c:v>150</c:v>
                </c:pt>
                <c:pt idx="31">
                  <c:v>155</c:v>
                </c:pt>
                <c:pt idx="32">
                  <c:v>160</c:v>
                </c:pt>
                <c:pt idx="33">
                  <c:v>165</c:v>
                </c:pt>
                <c:pt idx="34">
                  <c:v>170</c:v>
                </c:pt>
                <c:pt idx="35">
                  <c:v>175</c:v>
                </c:pt>
                <c:pt idx="36">
                  <c:v>180</c:v>
                </c:pt>
                <c:pt idx="37">
                  <c:v>185</c:v>
                </c:pt>
                <c:pt idx="38">
                  <c:v>190</c:v>
                </c:pt>
                <c:pt idx="39">
                  <c:v>195</c:v>
                </c:pt>
                <c:pt idx="40">
                  <c:v>200</c:v>
                </c:pt>
                <c:pt idx="41">
                  <c:v>205</c:v>
                </c:pt>
                <c:pt idx="42">
                  <c:v>210</c:v>
                </c:pt>
                <c:pt idx="43">
                  <c:v>215</c:v>
                </c:pt>
                <c:pt idx="44">
                  <c:v>220</c:v>
                </c:pt>
                <c:pt idx="45">
                  <c:v>225</c:v>
                </c:pt>
                <c:pt idx="46">
                  <c:v>230</c:v>
                </c:pt>
                <c:pt idx="47">
                  <c:v>235</c:v>
                </c:pt>
                <c:pt idx="48">
                  <c:v>240</c:v>
                </c:pt>
                <c:pt idx="49">
                  <c:v>245</c:v>
                </c:pt>
                <c:pt idx="50">
                  <c:v>250</c:v>
                </c:pt>
                <c:pt idx="51">
                  <c:v>255</c:v>
                </c:pt>
                <c:pt idx="52">
                  <c:v>260</c:v>
                </c:pt>
                <c:pt idx="53">
                  <c:v>265</c:v>
                </c:pt>
                <c:pt idx="54">
                  <c:v>270</c:v>
                </c:pt>
                <c:pt idx="55">
                  <c:v>275</c:v>
                </c:pt>
                <c:pt idx="56">
                  <c:v>280</c:v>
                </c:pt>
                <c:pt idx="57">
                  <c:v>285</c:v>
                </c:pt>
                <c:pt idx="58">
                  <c:v>290</c:v>
                </c:pt>
                <c:pt idx="59">
                  <c:v>295</c:v>
                </c:pt>
                <c:pt idx="60">
                  <c:v>300</c:v>
                </c:pt>
              </c:numCache>
            </c:numRef>
          </c:yVal>
          <c:smooth val="1"/>
        </c:ser>
        <c:ser>
          <c:idx val="1"/>
          <c:order val="1"/>
          <c:tx>
            <c:v>Steinhart-Hart</c:v>
          </c:tx>
          <c:marker>
            <c:symbol val="none"/>
          </c:marker>
          <c:xVal>
            <c:numRef>
              <c:f>'3 Thermistor from SteinhartHart'!$H$10:$H$70</c:f>
              <c:numCache>
                <c:formatCode>General</c:formatCode>
                <c:ptCount val="61"/>
                <c:pt idx="0">
                  <c:v>16122</c:v>
                </c:pt>
                <c:pt idx="1">
                  <c:v>16058</c:v>
                </c:pt>
                <c:pt idx="2">
                  <c:v>15980</c:v>
                </c:pt>
                <c:pt idx="3">
                  <c:v>15885</c:v>
                </c:pt>
                <c:pt idx="4">
                  <c:v>15770</c:v>
                </c:pt>
                <c:pt idx="5">
                  <c:v>15633</c:v>
                </c:pt>
                <c:pt idx="6">
                  <c:v>15470</c:v>
                </c:pt>
                <c:pt idx="7">
                  <c:v>15278</c:v>
                </c:pt>
                <c:pt idx="8">
                  <c:v>15053</c:v>
                </c:pt>
                <c:pt idx="9">
                  <c:v>14793</c:v>
                </c:pt>
                <c:pt idx="10">
                  <c:v>14494</c:v>
                </c:pt>
                <c:pt idx="11">
                  <c:v>14156</c:v>
                </c:pt>
                <c:pt idx="12">
                  <c:v>13776</c:v>
                </c:pt>
                <c:pt idx="13">
                  <c:v>13355</c:v>
                </c:pt>
                <c:pt idx="14">
                  <c:v>12894</c:v>
                </c:pt>
                <c:pt idx="15">
                  <c:v>12395</c:v>
                </c:pt>
                <c:pt idx="16">
                  <c:v>11861</c:v>
                </c:pt>
                <c:pt idx="17">
                  <c:v>11299</c:v>
                </c:pt>
                <c:pt idx="18">
                  <c:v>10714</c:v>
                </c:pt>
                <c:pt idx="19">
                  <c:v>10112</c:v>
                </c:pt>
                <c:pt idx="20">
                  <c:v>9502</c:v>
                </c:pt>
                <c:pt idx="21">
                  <c:v>8890</c:v>
                </c:pt>
                <c:pt idx="22">
                  <c:v>8285</c:v>
                </c:pt>
                <c:pt idx="23">
                  <c:v>7692</c:v>
                </c:pt>
                <c:pt idx="24">
                  <c:v>7117</c:v>
                </c:pt>
                <c:pt idx="25">
                  <c:v>6565</c:v>
                </c:pt>
                <c:pt idx="26">
                  <c:v>6040</c:v>
                </c:pt>
                <c:pt idx="27">
                  <c:v>5545</c:v>
                </c:pt>
                <c:pt idx="28">
                  <c:v>5080</c:v>
                </c:pt>
                <c:pt idx="29">
                  <c:v>4648</c:v>
                </c:pt>
                <c:pt idx="30">
                  <c:v>4247</c:v>
                </c:pt>
                <c:pt idx="31">
                  <c:v>3878</c:v>
                </c:pt>
                <c:pt idx="32">
                  <c:v>3539</c:v>
                </c:pt>
                <c:pt idx="33">
                  <c:v>3229</c:v>
                </c:pt>
                <c:pt idx="34">
                  <c:v>2946</c:v>
                </c:pt>
                <c:pt idx="35">
                  <c:v>2689</c:v>
                </c:pt>
                <c:pt idx="36">
                  <c:v>2455</c:v>
                </c:pt>
                <c:pt idx="37">
                  <c:v>2242</c:v>
                </c:pt>
                <c:pt idx="38">
                  <c:v>2050</c:v>
                </c:pt>
                <c:pt idx="39">
                  <c:v>1876</c:v>
                </c:pt>
                <c:pt idx="40">
                  <c:v>1718</c:v>
                </c:pt>
                <c:pt idx="41">
                  <c:v>1575</c:v>
                </c:pt>
                <c:pt idx="42">
                  <c:v>1445</c:v>
                </c:pt>
                <c:pt idx="43">
                  <c:v>1328</c:v>
                </c:pt>
                <c:pt idx="44">
                  <c:v>1221</c:v>
                </c:pt>
                <c:pt idx="45">
                  <c:v>1125</c:v>
                </c:pt>
                <c:pt idx="46">
                  <c:v>1037</c:v>
                </c:pt>
                <c:pt idx="47">
                  <c:v>958</c:v>
                </c:pt>
                <c:pt idx="48">
                  <c:v>885</c:v>
                </c:pt>
                <c:pt idx="49">
                  <c:v>820</c:v>
                </c:pt>
                <c:pt idx="50">
                  <c:v>760</c:v>
                </c:pt>
                <c:pt idx="51">
                  <c:v>705</c:v>
                </c:pt>
                <c:pt idx="52">
                  <c:v>655</c:v>
                </c:pt>
                <c:pt idx="53">
                  <c:v>610</c:v>
                </c:pt>
                <c:pt idx="54">
                  <c:v>568</c:v>
                </c:pt>
                <c:pt idx="55">
                  <c:v>530</c:v>
                </c:pt>
                <c:pt idx="56">
                  <c:v>495</c:v>
                </c:pt>
                <c:pt idx="57">
                  <c:v>463</c:v>
                </c:pt>
                <c:pt idx="58">
                  <c:v>433</c:v>
                </c:pt>
                <c:pt idx="59">
                  <c:v>406</c:v>
                </c:pt>
                <c:pt idx="60">
                  <c:v>381</c:v>
                </c:pt>
              </c:numCache>
            </c:numRef>
          </c:xVal>
          <c:yVal>
            <c:numRef>
              <c:f>'3 Thermistor from SteinhartHart'!$A$10:$A$70</c:f>
              <c:numCache>
                <c:formatCode>General</c:formatCode>
                <c:ptCount val="61"/>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pt idx="25">
                  <c:v>125</c:v>
                </c:pt>
                <c:pt idx="26">
                  <c:v>130</c:v>
                </c:pt>
                <c:pt idx="27">
                  <c:v>135</c:v>
                </c:pt>
                <c:pt idx="28">
                  <c:v>140</c:v>
                </c:pt>
                <c:pt idx="29">
                  <c:v>145</c:v>
                </c:pt>
                <c:pt idx="30">
                  <c:v>150</c:v>
                </c:pt>
                <c:pt idx="31">
                  <c:v>155</c:v>
                </c:pt>
                <c:pt idx="32">
                  <c:v>160</c:v>
                </c:pt>
                <c:pt idx="33">
                  <c:v>165</c:v>
                </c:pt>
                <c:pt idx="34">
                  <c:v>170</c:v>
                </c:pt>
                <c:pt idx="35">
                  <c:v>175</c:v>
                </c:pt>
                <c:pt idx="36">
                  <c:v>180</c:v>
                </c:pt>
                <c:pt idx="37">
                  <c:v>185</c:v>
                </c:pt>
                <c:pt idx="38">
                  <c:v>190</c:v>
                </c:pt>
                <c:pt idx="39">
                  <c:v>195</c:v>
                </c:pt>
                <c:pt idx="40">
                  <c:v>200</c:v>
                </c:pt>
                <c:pt idx="41">
                  <c:v>205</c:v>
                </c:pt>
                <c:pt idx="42">
                  <c:v>210</c:v>
                </c:pt>
                <c:pt idx="43">
                  <c:v>215</c:v>
                </c:pt>
                <c:pt idx="44">
                  <c:v>220</c:v>
                </c:pt>
                <c:pt idx="45">
                  <c:v>225</c:v>
                </c:pt>
                <c:pt idx="46">
                  <c:v>230</c:v>
                </c:pt>
                <c:pt idx="47">
                  <c:v>235</c:v>
                </c:pt>
                <c:pt idx="48">
                  <c:v>240</c:v>
                </c:pt>
                <c:pt idx="49">
                  <c:v>245</c:v>
                </c:pt>
                <c:pt idx="50">
                  <c:v>250</c:v>
                </c:pt>
                <c:pt idx="51">
                  <c:v>255</c:v>
                </c:pt>
                <c:pt idx="52">
                  <c:v>260</c:v>
                </c:pt>
                <c:pt idx="53">
                  <c:v>265</c:v>
                </c:pt>
                <c:pt idx="54">
                  <c:v>270</c:v>
                </c:pt>
                <c:pt idx="55">
                  <c:v>275</c:v>
                </c:pt>
                <c:pt idx="56">
                  <c:v>280</c:v>
                </c:pt>
                <c:pt idx="57">
                  <c:v>285</c:v>
                </c:pt>
                <c:pt idx="58">
                  <c:v>290</c:v>
                </c:pt>
                <c:pt idx="59">
                  <c:v>295</c:v>
                </c:pt>
                <c:pt idx="60">
                  <c:v>300</c:v>
                </c:pt>
              </c:numCache>
            </c:numRef>
          </c:yVal>
          <c:smooth val="1"/>
        </c:ser>
        <c:ser>
          <c:idx val="2"/>
          <c:order val="2"/>
          <c:tx>
            <c:v>Beta</c:v>
          </c:tx>
          <c:marker>
            <c:symbol val="none"/>
          </c:marker>
          <c:xVal>
            <c:numRef>
              <c:f>'2 Thermistor from Beta'!$F$8:$F$68</c:f>
              <c:numCache>
                <c:formatCode>General</c:formatCode>
                <c:ptCount val="61"/>
                <c:pt idx="0">
                  <c:v>16152</c:v>
                </c:pt>
                <c:pt idx="1">
                  <c:v>16086</c:v>
                </c:pt>
                <c:pt idx="2">
                  <c:v>16004</c:v>
                </c:pt>
                <c:pt idx="3">
                  <c:v>15904</c:v>
                </c:pt>
                <c:pt idx="4">
                  <c:v>15781</c:v>
                </c:pt>
                <c:pt idx="5">
                  <c:v>15633</c:v>
                </c:pt>
                <c:pt idx="6">
                  <c:v>15457</c:v>
                </c:pt>
                <c:pt idx="7">
                  <c:v>15249</c:v>
                </c:pt>
                <c:pt idx="8">
                  <c:v>15007</c:v>
                </c:pt>
                <c:pt idx="9">
                  <c:v>14728</c:v>
                </c:pt>
                <c:pt idx="10">
                  <c:v>14410</c:v>
                </c:pt>
                <c:pt idx="11">
                  <c:v>14052</c:v>
                </c:pt>
                <c:pt idx="12">
                  <c:v>13654</c:v>
                </c:pt>
                <c:pt idx="13">
                  <c:v>13218</c:v>
                </c:pt>
                <c:pt idx="14">
                  <c:v>12745</c:v>
                </c:pt>
                <c:pt idx="15">
                  <c:v>12239</c:v>
                </c:pt>
                <c:pt idx="16">
                  <c:v>11704</c:v>
                </c:pt>
                <c:pt idx="17">
                  <c:v>11147</c:v>
                </c:pt>
                <c:pt idx="18">
                  <c:v>10572</c:v>
                </c:pt>
                <c:pt idx="19">
                  <c:v>9987</c:v>
                </c:pt>
                <c:pt idx="20">
                  <c:v>9399</c:v>
                </c:pt>
                <c:pt idx="21">
                  <c:v>8813</c:v>
                </c:pt>
                <c:pt idx="22">
                  <c:v>8237</c:v>
                </c:pt>
                <c:pt idx="23">
                  <c:v>7674</c:v>
                </c:pt>
                <c:pt idx="24">
                  <c:v>7131</c:v>
                </c:pt>
                <c:pt idx="25">
                  <c:v>6610</c:v>
                </c:pt>
                <c:pt idx="26">
                  <c:v>6114</c:v>
                </c:pt>
                <c:pt idx="27">
                  <c:v>5646</c:v>
                </c:pt>
                <c:pt idx="28">
                  <c:v>5206</c:v>
                </c:pt>
                <c:pt idx="29">
                  <c:v>4795</c:v>
                </c:pt>
                <c:pt idx="30">
                  <c:v>4413</c:v>
                </c:pt>
                <c:pt idx="31">
                  <c:v>4058</c:v>
                </c:pt>
                <c:pt idx="32">
                  <c:v>3731</c:v>
                </c:pt>
                <c:pt idx="33">
                  <c:v>3430</c:v>
                </c:pt>
                <c:pt idx="34">
                  <c:v>3153</c:v>
                </c:pt>
                <c:pt idx="35">
                  <c:v>2899</c:v>
                </c:pt>
                <c:pt idx="36">
                  <c:v>2666</c:v>
                </c:pt>
                <c:pt idx="37">
                  <c:v>2453</c:v>
                </c:pt>
                <c:pt idx="38">
                  <c:v>2259</c:v>
                </c:pt>
                <c:pt idx="39">
                  <c:v>2081</c:v>
                </c:pt>
                <c:pt idx="40">
                  <c:v>1919</c:v>
                </c:pt>
                <c:pt idx="41">
                  <c:v>1771</c:v>
                </c:pt>
                <c:pt idx="42">
                  <c:v>1636</c:v>
                </c:pt>
                <c:pt idx="43">
                  <c:v>1513</c:v>
                </c:pt>
                <c:pt idx="44">
                  <c:v>1400</c:v>
                </c:pt>
                <c:pt idx="45">
                  <c:v>1297</c:v>
                </c:pt>
                <c:pt idx="46">
                  <c:v>1203</c:v>
                </c:pt>
                <c:pt idx="47">
                  <c:v>1117</c:v>
                </c:pt>
                <c:pt idx="48">
                  <c:v>1038</c:v>
                </c:pt>
                <c:pt idx="49">
                  <c:v>965</c:v>
                </c:pt>
                <c:pt idx="50">
                  <c:v>899</c:v>
                </c:pt>
                <c:pt idx="51">
                  <c:v>838</c:v>
                </c:pt>
                <c:pt idx="52">
                  <c:v>782</c:v>
                </c:pt>
                <c:pt idx="53">
                  <c:v>731</c:v>
                </c:pt>
                <c:pt idx="54">
                  <c:v>684</c:v>
                </c:pt>
                <c:pt idx="55">
                  <c:v>640</c:v>
                </c:pt>
                <c:pt idx="56">
                  <c:v>600</c:v>
                </c:pt>
                <c:pt idx="57">
                  <c:v>563</c:v>
                </c:pt>
                <c:pt idx="58">
                  <c:v>528</c:v>
                </c:pt>
                <c:pt idx="59">
                  <c:v>496</c:v>
                </c:pt>
                <c:pt idx="60">
                  <c:v>467</c:v>
                </c:pt>
              </c:numCache>
            </c:numRef>
          </c:xVal>
          <c:yVal>
            <c:numRef>
              <c:f>'2 Thermistor from Beta'!$A$8:$A$68</c:f>
              <c:numCache>
                <c:formatCode>General</c:formatCode>
                <c:ptCount val="61"/>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pt idx="25">
                  <c:v>125</c:v>
                </c:pt>
                <c:pt idx="26">
                  <c:v>130</c:v>
                </c:pt>
                <c:pt idx="27">
                  <c:v>135</c:v>
                </c:pt>
                <c:pt idx="28">
                  <c:v>140</c:v>
                </c:pt>
                <c:pt idx="29">
                  <c:v>145</c:v>
                </c:pt>
                <c:pt idx="30">
                  <c:v>150</c:v>
                </c:pt>
                <c:pt idx="31">
                  <c:v>155</c:v>
                </c:pt>
                <c:pt idx="32">
                  <c:v>160</c:v>
                </c:pt>
                <c:pt idx="33">
                  <c:v>165</c:v>
                </c:pt>
                <c:pt idx="34">
                  <c:v>170</c:v>
                </c:pt>
                <c:pt idx="35">
                  <c:v>175</c:v>
                </c:pt>
                <c:pt idx="36">
                  <c:v>180</c:v>
                </c:pt>
                <c:pt idx="37">
                  <c:v>185</c:v>
                </c:pt>
                <c:pt idx="38">
                  <c:v>190</c:v>
                </c:pt>
                <c:pt idx="39">
                  <c:v>195</c:v>
                </c:pt>
                <c:pt idx="40">
                  <c:v>200</c:v>
                </c:pt>
                <c:pt idx="41">
                  <c:v>205</c:v>
                </c:pt>
                <c:pt idx="42">
                  <c:v>210</c:v>
                </c:pt>
                <c:pt idx="43">
                  <c:v>215</c:v>
                </c:pt>
                <c:pt idx="44">
                  <c:v>220</c:v>
                </c:pt>
                <c:pt idx="45">
                  <c:v>225</c:v>
                </c:pt>
                <c:pt idx="46">
                  <c:v>230</c:v>
                </c:pt>
                <c:pt idx="47">
                  <c:v>235</c:v>
                </c:pt>
                <c:pt idx="48">
                  <c:v>240</c:v>
                </c:pt>
                <c:pt idx="49">
                  <c:v>245</c:v>
                </c:pt>
                <c:pt idx="50">
                  <c:v>250</c:v>
                </c:pt>
                <c:pt idx="51">
                  <c:v>255</c:v>
                </c:pt>
                <c:pt idx="52">
                  <c:v>260</c:v>
                </c:pt>
                <c:pt idx="53">
                  <c:v>265</c:v>
                </c:pt>
                <c:pt idx="54">
                  <c:v>270</c:v>
                </c:pt>
                <c:pt idx="55">
                  <c:v>275</c:v>
                </c:pt>
                <c:pt idx="56">
                  <c:v>280</c:v>
                </c:pt>
                <c:pt idx="57">
                  <c:v>285</c:v>
                </c:pt>
                <c:pt idx="58">
                  <c:v>290</c:v>
                </c:pt>
                <c:pt idx="59">
                  <c:v>295</c:v>
                </c:pt>
                <c:pt idx="60">
                  <c:v>300</c:v>
                </c:pt>
              </c:numCache>
            </c:numRef>
          </c:yVal>
          <c:smooth val="1"/>
        </c:ser>
        <c:dLbls>
          <c:showLegendKey val="0"/>
          <c:showVal val="0"/>
          <c:showCatName val="0"/>
          <c:showSerName val="0"/>
          <c:showPercent val="0"/>
          <c:showBubbleSize val="0"/>
        </c:dLbls>
        <c:axId val="94060928"/>
        <c:axId val="94062848"/>
      </c:scatterChart>
      <c:valAx>
        <c:axId val="94060928"/>
        <c:scaling>
          <c:orientation val="minMax"/>
        </c:scaling>
        <c:delete val="0"/>
        <c:axPos val="b"/>
        <c:title>
          <c:tx>
            <c:rich>
              <a:bodyPr/>
              <a:lstStyle/>
              <a:p>
                <a:pPr>
                  <a:defRPr/>
                </a:pPr>
                <a:r>
                  <a:rPr lang="en-AU"/>
                  <a:t>Reading ADC (oversampled)</a:t>
                </a:r>
              </a:p>
            </c:rich>
          </c:tx>
          <c:overlay val="0"/>
        </c:title>
        <c:numFmt formatCode="General" sourceLinked="1"/>
        <c:majorTickMark val="none"/>
        <c:minorTickMark val="none"/>
        <c:tickLblPos val="nextTo"/>
        <c:crossAx val="94062848"/>
        <c:crosses val="autoZero"/>
        <c:crossBetween val="midCat"/>
      </c:valAx>
      <c:valAx>
        <c:axId val="94062848"/>
        <c:scaling>
          <c:orientation val="minMax"/>
        </c:scaling>
        <c:delete val="0"/>
        <c:axPos val="l"/>
        <c:majorGridlines/>
        <c:title>
          <c:tx>
            <c:rich>
              <a:bodyPr/>
              <a:lstStyle/>
              <a:p>
                <a:pPr>
                  <a:defRPr/>
                </a:pPr>
                <a:r>
                  <a:rPr lang="en-AU"/>
                  <a:t>Temp (°C)</a:t>
                </a:r>
              </a:p>
            </c:rich>
          </c:tx>
          <c:overlay val="0"/>
        </c:title>
        <c:numFmt formatCode="General" sourceLinked="1"/>
        <c:majorTickMark val="none"/>
        <c:minorTickMark val="none"/>
        <c:tickLblPos val="nextTo"/>
        <c:crossAx val="94060928"/>
        <c:crosses val="autoZero"/>
        <c:crossBetween val="midCat"/>
      </c:valAx>
    </c:plotArea>
    <c:legend>
      <c:legendPos val="r"/>
      <c:overlay val="0"/>
    </c:legend>
    <c:plotVisOnly val="1"/>
    <c:dispBlanksAs val="gap"/>
    <c:showDLblsOverMax val="0"/>
  </c:chart>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6.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7.xml"/></Relationships>
</file>

<file path=xl/chartsheets/sheet1.xml><?xml version="1.0" encoding="utf-8"?>
<chartsheet xmlns="http://schemas.openxmlformats.org/spreadsheetml/2006/main" xmlns:r="http://schemas.openxmlformats.org/officeDocument/2006/relationships">
  <sheetPr codeName="Chart5"/>
  <sheetViews>
    <sheetView zoomScale="97"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sheetPr codeName="Chart6"/>
  <sheetViews>
    <sheetView zoomScale="121" workbookViewId="0" zoomToFit="1"/>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213360</xdr:colOff>
          <xdr:row>1</xdr:row>
          <xdr:rowOff>83820</xdr:rowOff>
        </xdr:from>
        <xdr:to>
          <xdr:col>13</xdr:col>
          <xdr:colOff>1432560</xdr:colOff>
          <xdr:row>3</xdr:row>
          <xdr:rowOff>22860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AU" sz="1100" b="0" i="0" u="none" strike="noStrike" baseline="0">
                  <a:solidFill>
                    <a:srgbClr val="000000"/>
                  </a:solidFill>
                  <a:latin typeface="Calibri"/>
                </a:rPr>
                <a:t>Create Table</a:t>
              </a:r>
              <a:endParaRPr lang="en-AU"/>
            </a:p>
          </xdr:txBody>
        </xdr:sp>
        <xdr:clientData fPrintsWithSheet="0"/>
      </xdr:twoCellAnchor>
    </mc:Choice>
    <mc:Fallback/>
  </mc:AlternateContent>
  <xdr:twoCellAnchor>
    <xdr:from>
      <xdr:col>12</xdr:col>
      <xdr:colOff>52387</xdr:colOff>
      <xdr:row>27</xdr:row>
      <xdr:rowOff>14287</xdr:rowOff>
    </xdr:from>
    <xdr:to>
      <xdr:col>17</xdr:col>
      <xdr:colOff>566737</xdr:colOff>
      <xdr:row>41</xdr:row>
      <xdr:rowOff>90487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28575</xdr:colOff>
      <xdr:row>11</xdr:row>
      <xdr:rowOff>180975</xdr:rowOff>
    </xdr:from>
    <xdr:to>
      <xdr:col>17</xdr:col>
      <xdr:colOff>542925</xdr:colOff>
      <xdr:row>26</xdr:row>
      <xdr:rowOff>66675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0</xdr:colOff>
      <xdr:row>43</xdr:row>
      <xdr:rowOff>0</xdr:rowOff>
    </xdr:from>
    <xdr:to>
      <xdr:col>17</xdr:col>
      <xdr:colOff>514350</xdr:colOff>
      <xdr:row>57</xdr:row>
      <xdr:rowOff>76200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400050</xdr:colOff>
      <xdr:row>11</xdr:row>
      <xdr:rowOff>180975</xdr:rowOff>
    </xdr:from>
    <xdr:to>
      <xdr:col>0</xdr:col>
      <xdr:colOff>7123860</xdr:colOff>
      <xdr:row>46</xdr:row>
      <xdr:rowOff>122999</xdr:rowOff>
    </xdr:to>
    <xdr:pic>
      <xdr:nvPicPr>
        <xdr:cNvPr id="2" name="Picture 1"/>
        <xdr:cNvPicPr>
          <a:picLocks noChangeAspect="1"/>
        </xdr:cNvPicPr>
      </xdr:nvPicPr>
      <xdr:blipFill>
        <a:blip xmlns:r="http://schemas.openxmlformats.org/officeDocument/2006/relationships" r:embed="rId1"/>
        <a:stretch>
          <a:fillRect/>
        </a:stretch>
      </xdr:blipFill>
      <xdr:spPr>
        <a:xfrm>
          <a:off x="400050" y="6848475"/>
          <a:ext cx="6723810" cy="6609524"/>
        </a:xfrm>
        <a:prstGeom prst="rect">
          <a:avLst/>
        </a:prstGeom>
      </xdr:spPr>
    </xdr:pic>
    <xdr:clientData/>
  </xdr:twoCellAnchor>
  <xdr:twoCellAnchor editAs="oneCell">
    <xdr:from>
      <xdr:col>0</xdr:col>
      <xdr:colOff>390525</xdr:colOff>
      <xdr:row>46</xdr:row>
      <xdr:rowOff>152400</xdr:rowOff>
    </xdr:from>
    <xdr:to>
      <xdr:col>0</xdr:col>
      <xdr:colOff>6990525</xdr:colOff>
      <xdr:row>80</xdr:row>
      <xdr:rowOff>170639</xdr:rowOff>
    </xdr:to>
    <xdr:pic>
      <xdr:nvPicPr>
        <xdr:cNvPr id="4" name="Picture 3"/>
        <xdr:cNvPicPr>
          <a:picLocks noChangeAspect="1"/>
        </xdr:cNvPicPr>
      </xdr:nvPicPr>
      <xdr:blipFill>
        <a:blip xmlns:r="http://schemas.openxmlformats.org/officeDocument/2006/relationships" r:embed="rId2"/>
        <a:stretch>
          <a:fillRect/>
        </a:stretch>
      </xdr:blipFill>
      <xdr:spPr>
        <a:xfrm>
          <a:off x="390525" y="7391400"/>
          <a:ext cx="6600000" cy="6495239"/>
        </a:xfrm>
        <a:prstGeom prst="rect">
          <a:avLst/>
        </a:prstGeom>
      </xdr:spPr>
    </xdr:pic>
    <xdr:clientData/>
  </xdr:twoCellAnchor>
  <xdr:twoCellAnchor editAs="oneCell">
    <xdr:from>
      <xdr:col>0</xdr:col>
      <xdr:colOff>1009650</xdr:colOff>
      <xdr:row>81</xdr:row>
      <xdr:rowOff>85725</xdr:rowOff>
    </xdr:from>
    <xdr:to>
      <xdr:col>0</xdr:col>
      <xdr:colOff>6266793</xdr:colOff>
      <xdr:row>120</xdr:row>
      <xdr:rowOff>160987</xdr:rowOff>
    </xdr:to>
    <xdr:pic>
      <xdr:nvPicPr>
        <xdr:cNvPr id="5" name="Picture 4"/>
        <xdr:cNvPicPr>
          <a:picLocks noChangeAspect="1"/>
        </xdr:cNvPicPr>
      </xdr:nvPicPr>
      <xdr:blipFill>
        <a:blip xmlns:r="http://schemas.openxmlformats.org/officeDocument/2006/relationships" r:embed="rId3"/>
        <a:stretch>
          <a:fillRect/>
        </a:stretch>
      </xdr:blipFill>
      <xdr:spPr>
        <a:xfrm>
          <a:off x="1009650" y="13992225"/>
          <a:ext cx="5257143" cy="7504762"/>
        </a:xfrm>
        <a:prstGeom prst="rect">
          <a:avLst/>
        </a:prstGeom>
      </xdr:spPr>
    </xdr:pic>
    <xdr:clientData/>
  </xdr:twoCellAnchor>
  <xdr:twoCellAnchor editAs="oneCell">
    <xdr:from>
      <xdr:col>0</xdr:col>
      <xdr:colOff>838200</xdr:colOff>
      <xdr:row>121</xdr:row>
      <xdr:rowOff>95250</xdr:rowOff>
    </xdr:from>
    <xdr:to>
      <xdr:col>0</xdr:col>
      <xdr:colOff>6095343</xdr:colOff>
      <xdr:row>149</xdr:row>
      <xdr:rowOff>27917</xdr:rowOff>
    </xdr:to>
    <xdr:pic>
      <xdr:nvPicPr>
        <xdr:cNvPr id="6" name="Picture 5"/>
        <xdr:cNvPicPr>
          <a:picLocks noChangeAspect="1"/>
        </xdr:cNvPicPr>
      </xdr:nvPicPr>
      <xdr:blipFill>
        <a:blip xmlns:r="http://schemas.openxmlformats.org/officeDocument/2006/relationships" r:embed="rId4"/>
        <a:stretch>
          <a:fillRect/>
        </a:stretch>
      </xdr:blipFill>
      <xdr:spPr>
        <a:xfrm>
          <a:off x="838200" y="21621750"/>
          <a:ext cx="5257143" cy="526666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182880</xdr:colOff>
          <xdr:row>7</xdr:row>
          <xdr:rowOff>83820</xdr:rowOff>
        </xdr:from>
        <xdr:to>
          <xdr:col>11</xdr:col>
          <xdr:colOff>182880</xdr:colOff>
          <xdr:row>9</xdr:row>
          <xdr:rowOff>22860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AU" sz="1100" b="0" i="0" u="none" strike="noStrike" baseline="0">
                  <a:solidFill>
                    <a:srgbClr val="000000"/>
                  </a:solidFill>
                  <a:latin typeface="Calibri"/>
                </a:rPr>
                <a:t>Create Table</a:t>
              </a:r>
              <a:endParaRPr lang="en-AU"/>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22860</xdr:colOff>
      <xdr:row>5</xdr:row>
      <xdr:rowOff>30480</xdr:rowOff>
    </xdr:from>
    <xdr:to>
      <xdr:col>9</xdr:col>
      <xdr:colOff>335783</xdr:colOff>
      <xdr:row>35</xdr:row>
      <xdr:rowOff>152886</xdr:rowOff>
    </xdr:to>
    <xdr:pic>
      <xdr:nvPicPr>
        <xdr:cNvPr id="2" name="Picture 1"/>
        <xdr:cNvPicPr>
          <a:picLocks noChangeAspect="1"/>
        </xdr:cNvPicPr>
      </xdr:nvPicPr>
      <xdr:blipFill>
        <a:blip xmlns:r="http://schemas.openxmlformats.org/officeDocument/2006/relationships" r:embed="rId1"/>
        <a:stretch>
          <a:fillRect/>
        </a:stretch>
      </xdr:blipFill>
      <xdr:spPr>
        <a:xfrm>
          <a:off x="22860" y="944880"/>
          <a:ext cx="5799323" cy="560880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502920</xdr:colOff>
          <xdr:row>9</xdr:row>
          <xdr:rowOff>83820</xdr:rowOff>
        </xdr:from>
        <xdr:to>
          <xdr:col>13</xdr:col>
          <xdr:colOff>502920</xdr:colOff>
          <xdr:row>11</xdr:row>
          <xdr:rowOff>22860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AU" sz="1100" b="0" i="0" u="none" strike="noStrike" baseline="0">
                  <a:solidFill>
                    <a:srgbClr val="000000"/>
                  </a:solidFill>
                  <a:latin typeface="Calibri"/>
                </a:rPr>
                <a:t>Create Table</a:t>
              </a:r>
              <a:endParaRPr lang="en-AU"/>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absoluteAnchor>
    <xdr:pos x="0" y="0"/>
    <xdr:ext cx="9285402" cy="606457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8674835" cy="6297521"/>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8"/>
  <sheetViews>
    <sheetView workbookViewId="0">
      <selection activeCell="F15" sqref="F15"/>
    </sheetView>
  </sheetViews>
  <sheetFormatPr defaultRowHeight="14.4" x14ac:dyDescent="0.3"/>
  <cols>
    <col min="14" max="14" width="24.33203125" customWidth="1"/>
  </cols>
  <sheetData>
    <row r="1" spans="1:14" x14ac:dyDescent="0.3">
      <c r="A1" t="s">
        <v>3</v>
      </c>
      <c r="B1" s="2">
        <v>4.7</v>
      </c>
      <c r="C1" t="s">
        <v>4</v>
      </c>
      <c r="N1" s="1" t="s">
        <v>26</v>
      </c>
    </row>
    <row r="2" spans="1:14" x14ac:dyDescent="0.3">
      <c r="A2" t="s">
        <v>5</v>
      </c>
      <c r="B2" s="2">
        <v>5</v>
      </c>
      <c r="C2" t="s">
        <v>6</v>
      </c>
    </row>
    <row r="3" spans="1:14" x14ac:dyDescent="0.3">
      <c r="A3" t="s">
        <v>7</v>
      </c>
      <c r="B3" s="2">
        <v>16</v>
      </c>
    </row>
    <row r="4" spans="1:14" x14ac:dyDescent="0.3">
      <c r="A4" t="s">
        <v>13</v>
      </c>
      <c r="B4" s="2">
        <v>100</v>
      </c>
      <c r="C4" t="s">
        <v>14</v>
      </c>
    </row>
    <row r="5" spans="1:14" x14ac:dyDescent="0.3">
      <c r="A5" t="s">
        <v>16</v>
      </c>
      <c r="B5" s="2">
        <v>1023</v>
      </c>
      <c r="C5" t="s">
        <v>17</v>
      </c>
    </row>
    <row r="7" spans="1:14" x14ac:dyDescent="0.3">
      <c r="A7" t="s">
        <v>1</v>
      </c>
      <c r="B7" t="s">
        <v>2</v>
      </c>
      <c r="C7" t="s">
        <v>0</v>
      </c>
      <c r="D7" t="s">
        <v>8</v>
      </c>
      <c r="E7" t="s">
        <v>15</v>
      </c>
      <c r="J7" t="s">
        <v>10</v>
      </c>
      <c r="K7" t="s">
        <v>9</v>
      </c>
    </row>
    <row r="8" spans="1:14" x14ac:dyDescent="0.3">
      <c r="A8" s="4">
        <v>0</v>
      </c>
      <c r="B8" s="5">
        <f>K8*$B$4</f>
        <v>332.4</v>
      </c>
      <c r="C8">
        <f>B8*$B$2/(B8+$B$1)</f>
        <v>4.9302877484425993</v>
      </c>
      <c r="D8">
        <f>(C8/$B$2*$B$5)</f>
        <v>1008.7368733313558</v>
      </c>
      <c r="E8" s="4">
        <f>ROUND(D8*$B$3,0)</f>
        <v>16140</v>
      </c>
      <c r="J8" s="2">
        <v>0</v>
      </c>
      <c r="K8" s="2">
        <v>3.3239999999999998</v>
      </c>
      <c r="L8" s="1"/>
      <c r="M8" s="1" t="s">
        <v>24</v>
      </c>
    </row>
    <row r="9" spans="1:14" x14ac:dyDescent="0.3">
      <c r="A9" s="4">
        <v>5</v>
      </c>
      <c r="B9" s="5">
        <f t="shared" ref="B9:B68" si="0">K9*$B$4</f>
        <v>257.69</v>
      </c>
      <c r="C9">
        <f t="shared" ref="C9:C68" si="1">B9*$B$2/(B9+$B$1)</f>
        <v>4.910438660009909</v>
      </c>
      <c r="D9">
        <f t="shared" ref="D9:D68" si="2">(C9/$B$2*$B$5)</f>
        <v>1004.6757498380274</v>
      </c>
      <c r="E9" s="4">
        <f t="shared" ref="E9:E68" si="3">ROUND(D9*$B$3,0)</f>
        <v>16075</v>
      </c>
      <c r="J9" s="2">
        <v>5</v>
      </c>
      <c r="K9" s="2">
        <v>2.5769000000000002</v>
      </c>
      <c r="N9" s="2" t="s">
        <v>25</v>
      </c>
    </row>
    <row r="10" spans="1:14" x14ac:dyDescent="0.3">
      <c r="A10" s="4">
        <v>10</v>
      </c>
      <c r="B10" s="5">
        <f t="shared" si="0"/>
        <v>201.27</v>
      </c>
      <c r="C10">
        <f t="shared" si="1"/>
        <v>4.8859057144244309</v>
      </c>
      <c r="D10">
        <f t="shared" si="2"/>
        <v>999.6563091712386</v>
      </c>
      <c r="E10" s="4">
        <f t="shared" si="3"/>
        <v>15995</v>
      </c>
      <c r="J10" s="2">
        <v>10</v>
      </c>
      <c r="K10" s="2">
        <v>2.0127000000000002</v>
      </c>
      <c r="N10" s="2" t="s">
        <v>11</v>
      </c>
    </row>
    <row r="11" spans="1:14" x14ac:dyDescent="0.3">
      <c r="A11" s="4">
        <v>15</v>
      </c>
      <c r="B11" s="5">
        <f t="shared" si="0"/>
        <v>158.34</v>
      </c>
      <c r="C11">
        <f t="shared" si="1"/>
        <v>4.8558635917566244</v>
      </c>
      <c r="D11">
        <f t="shared" si="2"/>
        <v>993.50969087340536</v>
      </c>
      <c r="E11" s="4">
        <f t="shared" si="3"/>
        <v>15896</v>
      </c>
      <c r="J11" s="2">
        <v>15</v>
      </c>
      <c r="K11" s="2">
        <v>1.5833999999999999</v>
      </c>
      <c r="N11" s="2" t="s">
        <v>12</v>
      </c>
    </row>
    <row r="12" spans="1:14" x14ac:dyDescent="0.3">
      <c r="A12" s="4">
        <v>20</v>
      </c>
      <c r="B12" s="5">
        <f t="shared" si="0"/>
        <v>125.42</v>
      </c>
      <c r="C12">
        <f t="shared" si="1"/>
        <v>4.8193974792499228</v>
      </c>
      <c r="D12">
        <f t="shared" si="2"/>
        <v>986.04872425453425</v>
      </c>
      <c r="E12" s="4">
        <f t="shared" si="3"/>
        <v>15777</v>
      </c>
      <c r="J12" s="2">
        <v>20</v>
      </c>
      <c r="K12" s="2">
        <v>1.2542</v>
      </c>
    </row>
    <row r="13" spans="1:14" x14ac:dyDescent="0.3">
      <c r="A13" s="4">
        <v>25</v>
      </c>
      <c r="B13" s="5">
        <f t="shared" si="0"/>
        <v>100</v>
      </c>
      <c r="C13">
        <f t="shared" si="1"/>
        <v>4.7755491881566376</v>
      </c>
      <c r="D13">
        <f t="shared" si="2"/>
        <v>977.07736389684806</v>
      </c>
      <c r="E13" s="4">
        <f t="shared" si="3"/>
        <v>15633</v>
      </c>
      <c r="J13" s="2">
        <v>25</v>
      </c>
      <c r="K13" s="2">
        <v>1</v>
      </c>
    </row>
    <row r="14" spans="1:14" x14ac:dyDescent="0.3">
      <c r="A14" s="4">
        <v>30</v>
      </c>
      <c r="B14" s="5">
        <f t="shared" si="0"/>
        <v>80.239000000000004</v>
      </c>
      <c r="C14">
        <f t="shared" si="1"/>
        <v>4.7233308609708144</v>
      </c>
      <c r="D14">
        <f t="shared" si="2"/>
        <v>966.39349415462868</v>
      </c>
      <c r="E14" s="4">
        <f t="shared" si="3"/>
        <v>15462</v>
      </c>
      <c r="J14" s="2">
        <v>30</v>
      </c>
      <c r="K14" s="2">
        <v>0.80239000000000005</v>
      </c>
    </row>
    <row r="15" spans="1:14" x14ac:dyDescent="0.3">
      <c r="A15" s="4">
        <v>35</v>
      </c>
      <c r="B15" s="5">
        <f t="shared" si="0"/>
        <v>64.775999999999996</v>
      </c>
      <c r="C15">
        <f t="shared" si="1"/>
        <v>4.66175369911912</v>
      </c>
      <c r="D15">
        <f t="shared" si="2"/>
        <v>953.79480683977192</v>
      </c>
      <c r="E15" s="4">
        <f t="shared" si="3"/>
        <v>15261</v>
      </c>
      <c r="J15" s="2">
        <v>35</v>
      </c>
      <c r="K15" s="2">
        <v>0.64776</v>
      </c>
    </row>
    <row r="16" spans="1:14" x14ac:dyDescent="0.3">
      <c r="A16" s="4">
        <v>40</v>
      </c>
      <c r="B16" s="5">
        <f t="shared" si="0"/>
        <v>52.597999999999999</v>
      </c>
      <c r="C16">
        <f t="shared" si="1"/>
        <v>4.5898635205417291</v>
      </c>
      <c r="D16">
        <f t="shared" si="2"/>
        <v>939.0860763028378</v>
      </c>
      <c r="E16" s="4">
        <f t="shared" si="3"/>
        <v>15025</v>
      </c>
      <c r="J16" s="2">
        <v>40</v>
      </c>
      <c r="K16" s="2">
        <v>0.52598</v>
      </c>
    </row>
    <row r="17" spans="1:11" x14ac:dyDescent="0.3">
      <c r="A17" s="4">
        <v>45</v>
      </c>
      <c r="B17" s="5">
        <f t="shared" si="0"/>
        <v>42.95</v>
      </c>
      <c r="C17">
        <f t="shared" si="1"/>
        <v>4.5068205666316885</v>
      </c>
      <c r="D17">
        <f t="shared" si="2"/>
        <v>922.09548793284353</v>
      </c>
      <c r="E17" s="4">
        <f t="shared" si="3"/>
        <v>14754</v>
      </c>
      <c r="J17" s="2">
        <v>45</v>
      </c>
      <c r="K17" s="2">
        <v>0.42949999999999999</v>
      </c>
    </row>
    <row r="18" spans="1:11" x14ac:dyDescent="0.3">
      <c r="A18" s="4">
        <v>50</v>
      </c>
      <c r="B18" s="5">
        <f t="shared" si="0"/>
        <v>35.262</v>
      </c>
      <c r="C18">
        <f t="shared" si="1"/>
        <v>4.4119413442770625</v>
      </c>
      <c r="D18">
        <f t="shared" si="2"/>
        <v>902.68319903908707</v>
      </c>
      <c r="E18" s="4">
        <f t="shared" si="3"/>
        <v>14443</v>
      </c>
      <c r="J18" s="2">
        <v>50</v>
      </c>
      <c r="K18" s="2">
        <v>0.35261999999999999</v>
      </c>
    </row>
    <row r="19" spans="1:11" x14ac:dyDescent="0.3">
      <c r="A19" s="4">
        <v>55</v>
      </c>
      <c r="B19" s="5">
        <f t="shared" si="0"/>
        <v>29.099999999999998</v>
      </c>
      <c r="C19">
        <f t="shared" si="1"/>
        <v>4.3047337278106514</v>
      </c>
      <c r="D19">
        <f t="shared" si="2"/>
        <v>880.74852071005921</v>
      </c>
      <c r="E19" s="4">
        <f t="shared" si="3"/>
        <v>14092</v>
      </c>
      <c r="J19" s="2">
        <v>55</v>
      </c>
      <c r="K19" s="2">
        <v>0.29099999999999998</v>
      </c>
    </row>
    <row r="20" spans="1:11" x14ac:dyDescent="0.3">
      <c r="A20" s="4">
        <v>60</v>
      </c>
      <c r="B20" s="5">
        <f t="shared" si="0"/>
        <v>24.135999999999999</v>
      </c>
      <c r="C20">
        <f t="shared" si="1"/>
        <v>4.185046469690664</v>
      </c>
      <c r="D20">
        <f t="shared" si="2"/>
        <v>856.26050769870994</v>
      </c>
      <c r="E20" s="4">
        <f t="shared" si="3"/>
        <v>13700</v>
      </c>
      <c r="J20" s="2">
        <v>60</v>
      </c>
      <c r="K20" s="2">
        <v>0.24135999999999999</v>
      </c>
    </row>
    <row r="21" spans="1:11" x14ac:dyDescent="0.3">
      <c r="A21" s="4">
        <v>65</v>
      </c>
      <c r="B21" s="5">
        <f t="shared" si="0"/>
        <v>20.114000000000001</v>
      </c>
      <c r="C21">
        <f t="shared" si="1"/>
        <v>4.0529539775932948</v>
      </c>
      <c r="D21">
        <f t="shared" si="2"/>
        <v>829.2343838155881</v>
      </c>
      <c r="E21" s="4">
        <f t="shared" si="3"/>
        <v>13268</v>
      </c>
      <c r="J21" s="2">
        <v>65</v>
      </c>
      <c r="K21" s="2">
        <v>0.20114000000000001</v>
      </c>
    </row>
    <row r="22" spans="1:11" x14ac:dyDescent="0.3">
      <c r="A22" s="4">
        <v>70</v>
      </c>
      <c r="B22" s="5">
        <f t="shared" si="0"/>
        <v>16.841000000000001</v>
      </c>
      <c r="C22">
        <f t="shared" si="1"/>
        <v>3.909057146836266</v>
      </c>
      <c r="D22">
        <f t="shared" si="2"/>
        <v>799.79309224270003</v>
      </c>
      <c r="E22" s="4">
        <f t="shared" si="3"/>
        <v>12797</v>
      </c>
      <c r="J22" s="2">
        <v>70</v>
      </c>
      <c r="K22" s="2">
        <v>0.16841</v>
      </c>
    </row>
    <row r="23" spans="1:11" x14ac:dyDescent="0.3">
      <c r="A23" s="4">
        <v>75</v>
      </c>
      <c r="B23" s="5">
        <f t="shared" si="0"/>
        <v>14.163999999999998</v>
      </c>
      <c r="C23">
        <f t="shared" si="1"/>
        <v>3.7542408821034776</v>
      </c>
      <c r="D23">
        <f t="shared" si="2"/>
        <v>768.11768447837153</v>
      </c>
      <c r="E23" s="4">
        <f t="shared" si="3"/>
        <v>12290</v>
      </c>
      <c r="J23" s="2">
        <v>75</v>
      </c>
      <c r="K23" s="2">
        <v>0.14163999999999999</v>
      </c>
    </row>
    <row r="24" spans="1:11" x14ac:dyDescent="0.3">
      <c r="A24" s="4">
        <v>80</v>
      </c>
      <c r="B24" s="5">
        <f t="shared" si="0"/>
        <v>11.962999999999999</v>
      </c>
      <c r="C24">
        <f t="shared" si="1"/>
        <v>3.5896897317409828</v>
      </c>
      <c r="D24">
        <f t="shared" si="2"/>
        <v>734.45051911420501</v>
      </c>
      <c r="E24" s="4">
        <f t="shared" si="3"/>
        <v>11751</v>
      </c>
      <c r="J24" s="2">
        <v>80</v>
      </c>
      <c r="K24" s="2">
        <v>0.11963</v>
      </c>
    </row>
    <row r="25" spans="1:11" x14ac:dyDescent="0.3">
      <c r="A25" s="4">
        <v>85</v>
      </c>
      <c r="B25" s="5">
        <f t="shared" si="0"/>
        <v>10.147</v>
      </c>
      <c r="C25">
        <f t="shared" si="1"/>
        <v>3.4171886576412738</v>
      </c>
      <c r="D25">
        <f t="shared" si="2"/>
        <v>699.15679935340461</v>
      </c>
      <c r="E25" s="4">
        <f t="shared" si="3"/>
        <v>11187</v>
      </c>
      <c r="J25" s="2">
        <v>85</v>
      </c>
      <c r="K25" s="2">
        <v>0.10147</v>
      </c>
    </row>
    <row r="26" spans="1:11" x14ac:dyDescent="0.3">
      <c r="A26" s="4">
        <v>90</v>
      </c>
      <c r="B26" s="5">
        <f t="shared" si="0"/>
        <v>8.6406999999999989</v>
      </c>
      <c r="C26">
        <f t="shared" si="1"/>
        <v>3.238473243532948</v>
      </c>
      <c r="D26">
        <f t="shared" si="2"/>
        <v>662.59162562684116</v>
      </c>
      <c r="E26" s="4">
        <f t="shared" si="3"/>
        <v>10601</v>
      </c>
      <c r="J26" s="2">
        <v>90</v>
      </c>
      <c r="K26" s="2">
        <v>8.6406999999999998E-2</v>
      </c>
    </row>
    <row r="27" spans="1:11" x14ac:dyDescent="0.3">
      <c r="A27" s="4">
        <v>95</v>
      </c>
      <c r="B27" s="5">
        <f t="shared" si="0"/>
        <v>7.3867000000000003</v>
      </c>
      <c r="C27">
        <f t="shared" si="1"/>
        <v>3.0557141320625152</v>
      </c>
      <c r="D27">
        <f t="shared" si="2"/>
        <v>625.19911141999069</v>
      </c>
      <c r="E27" s="4">
        <f t="shared" si="3"/>
        <v>10003</v>
      </c>
      <c r="J27" s="2">
        <v>95</v>
      </c>
      <c r="K27" s="2">
        <v>7.3867000000000002E-2</v>
      </c>
    </row>
    <row r="28" spans="1:11" x14ac:dyDescent="0.3">
      <c r="A28" s="4">
        <v>100</v>
      </c>
      <c r="B28" s="5">
        <f t="shared" si="0"/>
        <v>6.3382999999999994</v>
      </c>
      <c r="C28">
        <f t="shared" si="1"/>
        <v>2.8710489839921003</v>
      </c>
      <c r="D28">
        <f t="shared" si="2"/>
        <v>587.41662212478377</v>
      </c>
      <c r="E28" s="4">
        <f t="shared" si="3"/>
        <v>9399</v>
      </c>
      <c r="J28" s="2">
        <v>100</v>
      </c>
      <c r="K28" s="2">
        <v>6.3382999999999995E-2</v>
      </c>
    </row>
    <row r="29" spans="1:11" x14ac:dyDescent="0.3">
      <c r="A29" s="4">
        <v>105</v>
      </c>
      <c r="B29" s="5">
        <f t="shared" si="0"/>
        <v>5.4584000000000001</v>
      </c>
      <c r="C29">
        <f t="shared" si="1"/>
        <v>2.6866435659158925</v>
      </c>
      <c r="D29">
        <f t="shared" si="2"/>
        <v>549.6872735863916</v>
      </c>
      <c r="E29" s="4">
        <f t="shared" si="3"/>
        <v>8795</v>
      </c>
      <c r="J29" s="2">
        <v>105</v>
      </c>
      <c r="K29" s="2">
        <v>5.4584000000000001E-2</v>
      </c>
    </row>
    <row r="30" spans="1:11" x14ac:dyDescent="0.3">
      <c r="A30" s="4">
        <v>110</v>
      </c>
      <c r="B30" s="5">
        <f t="shared" si="0"/>
        <v>4.7169999999999996</v>
      </c>
      <c r="C30">
        <f t="shared" si="1"/>
        <v>2.5045131145800146</v>
      </c>
      <c r="D30">
        <f t="shared" si="2"/>
        <v>512.42338324307104</v>
      </c>
      <c r="E30" s="4">
        <f t="shared" si="3"/>
        <v>8199</v>
      </c>
      <c r="J30" s="2">
        <v>110</v>
      </c>
      <c r="K30" s="2">
        <v>4.7169999999999997E-2</v>
      </c>
    </row>
    <row r="31" spans="1:11" x14ac:dyDescent="0.3">
      <c r="A31" s="4">
        <v>115</v>
      </c>
      <c r="B31" s="5">
        <f t="shared" si="0"/>
        <v>4.0900999999999996</v>
      </c>
      <c r="C31">
        <f t="shared" si="1"/>
        <v>2.3265378095812337</v>
      </c>
      <c r="D31">
        <f t="shared" si="2"/>
        <v>476.00963584032041</v>
      </c>
      <c r="E31" s="4">
        <f t="shared" si="3"/>
        <v>7616</v>
      </c>
      <c r="J31" s="2">
        <v>115</v>
      </c>
      <c r="K31" s="2">
        <v>4.0901E-2</v>
      </c>
    </row>
    <row r="32" spans="1:11" x14ac:dyDescent="0.3">
      <c r="A32" s="4">
        <v>120</v>
      </c>
      <c r="B32" s="5">
        <f t="shared" si="0"/>
        <v>3.5581</v>
      </c>
      <c r="C32">
        <f t="shared" si="1"/>
        <v>2.154309102578075</v>
      </c>
      <c r="D32">
        <f t="shared" si="2"/>
        <v>440.77164238747417</v>
      </c>
      <c r="E32" s="4">
        <f t="shared" si="3"/>
        <v>7052</v>
      </c>
      <c r="J32" s="2">
        <v>120</v>
      </c>
      <c r="K32" s="2">
        <v>3.5581000000000002E-2</v>
      </c>
    </row>
    <row r="33" spans="1:11" x14ac:dyDescent="0.3">
      <c r="A33" s="4">
        <v>125</v>
      </c>
      <c r="B33" s="5">
        <f t="shared" si="0"/>
        <v>3.105</v>
      </c>
      <c r="C33">
        <f t="shared" si="1"/>
        <v>1.9891095451633569</v>
      </c>
      <c r="D33">
        <f t="shared" si="2"/>
        <v>406.97181294042286</v>
      </c>
      <c r="E33" s="4">
        <f t="shared" si="3"/>
        <v>6512</v>
      </c>
      <c r="J33" s="2">
        <v>125</v>
      </c>
      <c r="K33" s="2">
        <v>3.1050000000000001E-2</v>
      </c>
    </row>
    <row r="34" spans="1:11" x14ac:dyDescent="0.3">
      <c r="A34" s="4">
        <v>130</v>
      </c>
      <c r="B34" s="5">
        <f t="shared" si="0"/>
        <v>2.7178999999999998</v>
      </c>
      <c r="C34">
        <f t="shared" si="1"/>
        <v>1.8319874897208106</v>
      </c>
      <c r="D34">
        <f t="shared" si="2"/>
        <v>374.82464039687784</v>
      </c>
      <c r="E34" s="4">
        <f t="shared" si="3"/>
        <v>5997</v>
      </c>
      <c r="J34" s="2">
        <v>130</v>
      </c>
      <c r="K34" s="2">
        <v>2.7178999999999998E-2</v>
      </c>
    </row>
    <row r="35" spans="1:11" x14ac:dyDescent="0.3">
      <c r="A35" s="4">
        <v>135</v>
      </c>
      <c r="B35" s="5">
        <f t="shared" si="0"/>
        <v>2.3860999999999999</v>
      </c>
      <c r="C35">
        <f t="shared" si="1"/>
        <v>1.683648269146639</v>
      </c>
      <c r="D35">
        <f t="shared" si="2"/>
        <v>344.47443586740235</v>
      </c>
      <c r="E35" s="4">
        <f t="shared" si="3"/>
        <v>5512</v>
      </c>
      <c r="J35" s="2">
        <v>135</v>
      </c>
      <c r="K35" s="2">
        <v>2.3861E-2</v>
      </c>
    </row>
    <row r="36" spans="1:11" x14ac:dyDescent="0.3">
      <c r="A36" s="4">
        <v>140</v>
      </c>
      <c r="B36" s="5">
        <f t="shared" si="0"/>
        <v>2.1008</v>
      </c>
      <c r="C36">
        <f t="shared" si="1"/>
        <v>1.544524173626632</v>
      </c>
      <c r="D36">
        <f t="shared" si="2"/>
        <v>316.00964592400885</v>
      </c>
      <c r="E36" s="4">
        <f t="shared" si="3"/>
        <v>5056</v>
      </c>
      <c r="J36" s="2">
        <v>140</v>
      </c>
      <c r="K36" s="2">
        <v>2.1007999999999999E-2</v>
      </c>
    </row>
    <row r="37" spans="1:11" x14ac:dyDescent="0.3">
      <c r="A37" s="4">
        <v>145</v>
      </c>
      <c r="B37" s="5">
        <f t="shared" si="0"/>
        <v>1.8547999999999998</v>
      </c>
      <c r="C37">
        <f t="shared" si="1"/>
        <v>1.4148410325257825</v>
      </c>
      <c r="D37">
        <f t="shared" si="2"/>
        <v>289.47647525477515</v>
      </c>
      <c r="E37" s="4">
        <f t="shared" si="3"/>
        <v>4632</v>
      </c>
      <c r="J37" s="2">
        <v>145</v>
      </c>
      <c r="K37" s="2">
        <v>1.8547999999999999E-2</v>
      </c>
    </row>
    <row r="38" spans="1:11" x14ac:dyDescent="0.3">
      <c r="A38" s="4">
        <v>150</v>
      </c>
      <c r="B38" s="5">
        <f t="shared" si="0"/>
        <v>1.6418999999999999</v>
      </c>
      <c r="C38">
        <f t="shared" si="1"/>
        <v>1.2944858796259797</v>
      </c>
      <c r="D38">
        <f t="shared" si="2"/>
        <v>264.85181097147546</v>
      </c>
      <c r="E38" s="4">
        <f t="shared" si="3"/>
        <v>4238</v>
      </c>
      <c r="J38" s="2">
        <v>150</v>
      </c>
      <c r="K38" s="2">
        <v>1.6419E-2</v>
      </c>
    </row>
    <row r="39" spans="1:11" x14ac:dyDescent="0.3">
      <c r="A39" s="4">
        <v>155</v>
      </c>
      <c r="B39" s="5">
        <f t="shared" si="0"/>
        <v>1.4572999999999998</v>
      </c>
      <c r="C39">
        <f t="shared" si="1"/>
        <v>1.1833920712000388</v>
      </c>
      <c r="D39">
        <f t="shared" si="2"/>
        <v>242.12201776752792</v>
      </c>
      <c r="E39" s="4">
        <f t="shared" si="3"/>
        <v>3874</v>
      </c>
      <c r="J39" s="2">
        <v>155</v>
      </c>
      <c r="K39" s="2">
        <v>1.4572999999999999E-2</v>
      </c>
    </row>
    <row r="40" spans="1:11" x14ac:dyDescent="0.3">
      <c r="A40" s="4">
        <v>160</v>
      </c>
      <c r="B40" s="5">
        <f t="shared" si="0"/>
        <v>1.2967</v>
      </c>
      <c r="C40">
        <f t="shared" si="1"/>
        <v>1.0811779812230058</v>
      </c>
      <c r="D40">
        <f t="shared" si="2"/>
        <v>221.20901495822699</v>
      </c>
      <c r="E40" s="4">
        <f t="shared" si="3"/>
        <v>3539</v>
      </c>
      <c r="J40" s="2">
        <v>160</v>
      </c>
      <c r="K40" s="2">
        <v>1.2966999999999999E-2</v>
      </c>
    </row>
    <row r="41" spans="1:11" x14ac:dyDescent="0.3">
      <c r="A41" s="4">
        <v>165</v>
      </c>
      <c r="B41" s="5">
        <f t="shared" si="0"/>
        <v>1.1566000000000001</v>
      </c>
      <c r="C41">
        <f t="shared" si="1"/>
        <v>0.98743298159341597</v>
      </c>
      <c r="D41">
        <f t="shared" si="2"/>
        <v>202.0287880340129</v>
      </c>
      <c r="E41" s="4">
        <f t="shared" si="3"/>
        <v>3232</v>
      </c>
      <c r="J41" s="2">
        <v>165</v>
      </c>
      <c r="K41" s="2">
        <v>1.1566E-2</v>
      </c>
    </row>
    <row r="42" spans="1:11" x14ac:dyDescent="0.3">
      <c r="A42" s="4">
        <v>170</v>
      </c>
      <c r="B42" s="5">
        <f t="shared" si="0"/>
        <v>1.0341</v>
      </c>
      <c r="C42">
        <f t="shared" si="1"/>
        <v>0.90171081773948847</v>
      </c>
      <c r="D42">
        <f t="shared" si="2"/>
        <v>184.49003330949935</v>
      </c>
      <c r="E42" s="4">
        <f t="shared" si="3"/>
        <v>2952</v>
      </c>
      <c r="J42" s="2">
        <v>170</v>
      </c>
      <c r="K42" s="2">
        <v>1.0340999999999999E-2</v>
      </c>
    </row>
    <row r="43" spans="1:11" x14ac:dyDescent="0.3">
      <c r="A43" s="4">
        <v>175</v>
      </c>
      <c r="B43" s="5">
        <f t="shared" si="0"/>
        <v>0.92663999999999991</v>
      </c>
      <c r="C43">
        <f t="shared" si="1"/>
        <v>0.82343992151621559</v>
      </c>
      <c r="D43">
        <f t="shared" si="2"/>
        <v>168.4758079422177</v>
      </c>
      <c r="E43" s="4">
        <f t="shared" si="3"/>
        <v>2696</v>
      </c>
      <c r="J43" s="2">
        <v>175</v>
      </c>
      <c r="K43" s="2">
        <v>9.2663999999999993E-3</v>
      </c>
    </row>
    <row r="44" spans="1:11" x14ac:dyDescent="0.3">
      <c r="A44" s="4">
        <v>180</v>
      </c>
      <c r="B44" s="5">
        <f t="shared" si="0"/>
        <v>0.83224000000000009</v>
      </c>
      <c r="C44">
        <f t="shared" si="1"/>
        <v>0.75217271846485345</v>
      </c>
      <c r="D44">
        <f t="shared" si="2"/>
        <v>153.89453819790901</v>
      </c>
      <c r="E44" s="4">
        <f t="shared" si="3"/>
        <v>2462</v>
      </c>
      <c r="J44" s="2">
        <v>180</v>
      </c>
      <c r="K44" s="2">
        <v>8.3224000000000006E-3</v>
      </c>
    </row>
    <row r="45" spans="1:11" x14ac:dyDescent="0.3">
      <c r="A45" s="4">
        <v>185</v>
      </c>
      <c r="B45" s="5">
        <f t="shared" si="0"/>
        <v>0.74907000000000001</v>
      </c>
      <c r="C45">
        <f t="shared" si="1"/>
        <v>0.68733747226590969</v>
      </c>
      <c r="D45">
        <f t="shared" si="2"/>
        <v>140.62924682560512</v>
      </c>
      <c r="E45" s="4">
        <f t="shared" si="3"/>
        <v>2250</v>
      </c>
      <c r="J45" s="2">
        <v>185</v>
      </c>
      <c r="K45" s="2">
        <v>7.4907000000000003E-3</v>
      </c>
    </row>
    <row r="46" spans="1:11" x14ac:dyDescent="0.3">
      <c r="A46" s="4">
        <v>190</v>
      </c>
      <c r="B46" s="5">
        <f t="shared" si="0"/>
        <v>0.67564000000000002</v>
      </c>
      <c r="C46">
        <f t="shared" si="1"/>
        <v>0.62842749886525129</v>
      </c>
      <c r="D46">
        <f t="shared" si="2"/>
        <v>128.57626626783042</v>
      </c>
      <c r="E46" s="4">
        <f t="shared" si="3"/>
        <v>2057</v>
      </c>
      <c r="J46" s="2">
        <v>190</v>
      </c>
      <c r="K46" s="2">
        <v>6.7564000000000001E-3</v>
      </c>
    </row>
    <row r="47" spans="1:11" x14ac:dyDescent="0.3">
      <c r="A47" s="4">
        <v>195</v>
      </c>
      <c r="B47" s="5">
        <f t="shared" si="0"/>
        <v>0.61063999999999996</v>
      </c>
      <c r="C47">
        <f t="shared" si="1"/>
        <v>0.57492129008933002</v>
      </c>
      <c r="D47">
        <f t="shared" si="2"/>
        <v>117.62889595227692</v>
      </c>
      <c r="E47" s="4">
        <f t="shared" si="3"/>
        <v>1882</v>
      </c>
      <c r="J47" s="2">
        <v>195</v>
      </c>
      <c r="K47" s="2">
        <v>6.1063999999999997E-3</v>
      </c>
    </row>
    <row r="48" spans="1:11" x14ac:dyDescent="0.3">
      <c r="A48" s="4">
        <v>200</v>
      </c>
      <c r="B48" s="5">
        <f t="shared" si="0"/>
        <v>0.55298999999999998</v>
      </c>
      <c r="C48">
        <f t="shared" si="1"/>
        <v>0.52635736980272174</v>
      </c>
      <c r="D48">
        <f t="shared" si="2"/>
        <v>107.69271786163686</v>
      </c>
      <c r="E48" s="4">
        <f t="shared" si="3"/>
        <v>1723</v>
      </c>
      <c r="J48" s="2">
        <v>200</v>
      </c>
      <c r="K48" s="2">
        <v>5.5298999999999999E-3</v>
      </c>
    </row>
    <row r="49" spans="1:11" x14ac:dyDescent="0.3">
      <c r="A49" s="4">
        <v>205</v>
      </c>
      <c r="B49" s="5">
        <f t="shared" si="0"/>
        <v>0.50175000000000003</v>
      </c>
      <c r="C49">
        <f t="shared" si="1"/>
        <v>0.48228961407218718</v>
      </c>
      <c r="D49">
        <f t="shared" si="2"/>
        <v>98.676455039169497</v>
      </c>
      <c r="E49" s="4">
        <f t="shared" si="3"/>
        <v>1579</v>
      </c>
      <c r="J49" s="2">
        <v>205</v>
      </c>
      <c r="K49" s="2">
        <v>5.0175000000000003E-3</v>
      </c>
    </row>
    <row r="50" spans="1:11" x14ac:dyDescent="0.3">
      <c r="A50" s="4">
        <v>210</v>
      </c>
      <c r="B50" s="5">
        <f t="shared" si="0"/>
        <v>0.45611000000000002</v>
      </c>
      <c r="C50">
        <f t="shared" si="1"/>
        <v>0.44230049397704857</v>
      </c>
      <c r="D50">
        <f t="shared" si="2"/>
        <v>90.494681067704136</v>
      </c>
      <c r="E50" s="4">
        <f t="shared" si="3"/>
        <v>1448</v>
      </c>
      <c r="J50" s="2">
        <v>210</v>
      </c>
      <c r="K50" s="2">
        <v>4.5611000000000002E-3</v>
      </c>
    </row>
    <row r="51" spans="1:11" x14ac:dyDescent="0.3">
      <c r="A51" s="4">
        <v>215</v>
      </c>
      <c r="B51" s="5">
        <f t="shared" si="0"/>
        <v>0.41536999999999996</v>
      </c>
      <c r="C51">
        <f t="shared" si="1"/>
        <v>0.40600191188516171</v>
      </c>
      <c r="D51">
        <f t="shared" si="2"/>
        <v>83.06799117170408</v>
      </c>
      <c r="E51" s="4">
        <f t="shared" si="3"/>
        <v>1329</v>
      </c>
      <c r="J51" s="2">
        <v>215</v>
      </c>
      <c r="K51" s="2">
        <v>4.1536999999999998E-3</v>
      </c>
    </row>
    <row r="52" spans="1:11" x14ac:dyDescent="0.3">
      <c r="A52" s="4">
        <v>220</v>
      </c>
      <c r="B52" s="5">
        <f t="shared" si="0"/>
        <v>0.37895000000000001</v>
      </c>
      <c r="C52">
        <f t="shared" si="1"/>
        <v>0.37305939219720613</v>
      </c>
      <c r="D52">
        <f t="shared" si="2"/>
        <v>76.327951643548374</v>
      </c>
      <c r="E52" s="4">
        <f t="shared" si="3"/>
        <v>1221</v>
      </c>
      <c r="J52" s="2">
        <v>220</v>
      </c>
      <c r="K52" s="2">
        <v>3.7894999999999999E-3</v>
      </c>
    </row>
    <row r="53" spans="1:11" x14ac:dyDescent="0.3">
      <c r="A53" s="4">
        <v>225</v>
      </c>
      <c r="B53" s="5">
        <f t="shared" si="0"/>
        <v>0.34631000000000001</v>
      </c>
      <c r="C53">
        <f t="shared" si="1"/>
        <v>0.34313191222893558</v>
      </c>
      <c r="D53">
        <f t="shared" si="2"/>
        <v>70.204789242040221</v>
      </c>
      <c r="E53" s="4">
        <f t="shared" si="3"/>
        <v>1123</v>
      </c>
      <c r="J53" s="2">
        <v>225</v>
      </c>
      <c r="K53" s="2">
        <v>3.4631000000000002E-3</v>
      </c>
    </row>
    <row r="54" spans="1:11" x14ac:dyDescent="0.3">
      <c r="A54" s="4">
        <v>230</v>
      </c>
      <c r="B54" s="5">
        <f t="shared" si="0"/>
        <v>0.31701000000000001</v>
      </c>
      <c r="C54">
        <f t="shared" si="1"/>
        <v>0.31593518848876123</v>
      </c>
      <c r="D54">
        <f t="shared" si="2"/>
        <v>64.640339564800541</v>
      </c>
      <c r="E54" s="4">
        <f t="shared" si="3"/>
        <v>1034</v>
      </c>
      <c r="J54" s="2">
        <v>230</v>
      </c>
      <c r="K54" s="2">
        <v>3.1700999999999999E-3</v>
      </c>
    </row>
    <row r="55" spans="1:11" x14ac:dyDescent="0.3">
      <c r="A55" s="4">
        <v>235</v>
      </c>
      <c r="B55" s="5">
        <f t="shared" si="0"/>
        <v>0.29066999999999998</v>
      </c>
      <c r="C55">
        <f t="shared" si="1"/>
        <v>0.29121340421226005</v>
      </c>
      <c r="D55">
        <f t="shared" si="2"/>
        <v>59.582262501828403</v>
      </c>
      <c r="E55" s="4">
        <f t="shared" si="3"/>
        <v>953</v>
      </c>
      <c r="J55" s="2">
        <v>235</v>
      </c>
      <c r="K55" s="2">
        <v>2.9066999999999999E-3</v>
      </c>
    </row>
    <row r="56" spans="1:11" x14ac:dyDescent="0.3">
      <c r="A56" s="4">
        <v>240</v>
      </c>
      <c r="B56" s="5">
        <f t="shared" si="0"/>
        <v>0.26693</v>
      </c>
      <c r="C56">
        <f t="shared" si="1"/>
        <v>0.2687072296166847</v>
      </c>
      <c r="D56">
        <f t="shared" si="2"/>
        <v>54.977499179573691</v>
      </c>
      <c r="E56" s="4">
        <f t="shared" si="3"/>
        <v>880</v>
      </c>
      <c r="J56" s="2">
        <v>240</v>
      </c>
      <c r="K56" s="2">
        <v>2.6692999999999999E-3</v>
      </c>
    </row>
    <row r="57" spans="1:11" x14ac:dyDescent="0.3">
      <c r="A57" s="4">
        <v>245</v>
      </c>
      <c r="B57" s="5">
        <f t="shared" si="0"/>
        <v>0.24551000000000001</v>
      </c>
      <c r="C57">
        <f t="shared" si="1"/>
        <v>0.24821504758862076</v>
      </c>
      <c r="D57">
        <f t="shared" si="2"/>
        <v>50.784798736631807</v>
      </c>
      <c r="E57" s="4">
        <f t="shared" si="3"/>
        <v>813</v>
      </c>
      <c r="J57" s="2">
        <v>245</v>
      </c>
      <c r="K57" s="2">
        <v>2.4551E-3</v>
      </c>
    </row>
    <row r="58" spans="1:11" x14ac:dyDescent="0.3">
      <c r="A58" s="4">
        <v>250</v>
      </c>
      <c r="B58" s="5">
        <f t="shared" si="0"/>
        <v>0.22615000000000002</v>
      </c>
      <c r="C58">
        <f t="shared" si="1"/>
        <v>0.22954031038437728</v>
      </c>
      <c r="D58">
        <f t="shared" si="2"/>
        <v>46.963947504643592</v>
      </c>
      <c r="E58" s="4">
        <f t="shared" si="3"/>
        <v>751</v>
      </c>
      <c r="J58" s="2">
        <v>250</v>
      </c>
      <c r="K58" s="2">
        <v>2.2615000000000001E-3</v>
      </c>
    </row>
    <row r="59" spans="1:11" x14ac:dyDescent="0.3">
      <c r="A59" s="4">
        <v>255</v>
      </c>
      <c r="B59" s="5">
        <f t="shared" si="0"/>
        <v>0.20861999999999997</v>
      </c>
      <c r="C59">
        <f t="shared" si="1"/>
        <v>0.21250371794924031</v>
      </c>
      <c r="D59">
        <f t="shared" si="2"/>
        <v>43.478260692414565</v>
      </c>
      <c r="E59" s="4">
        <f t="shared" si="3"/>
        <v>696</v>
      </c>
      <c r="J59" s="2">
        <v>255</v>
      </c>
      <c r="K59" s="2">
        <v>2.0861999999999999E-3</v>
      </c>
    </row>
    <row r="60" spans="1:11" x14ac:dyDescent="0.3">
      <c r="A60" s="4">
        <v>260</v>
      </c>
      <c r="B60" s="5">
        <f t="shared" si="0"/>
        <v>0.19273000000000001</v>
      </c>
      <c r="C60">
        <f t="shared" si="1"/>
        <v>0.19695548293079734</v>
      </c>
      <c r="D60">
        <f t="shared" si="2"/>
        <v>40.297091807641138</v>
      </c>
      <c r="E60" s="4">
        <f t="shared" si="3"/>
        <v>645</v>
      </c>
      <c r="J60" s="2">
        <v>260</v>
      </c>
      <c r="K60" s="2">
        <v>1.9273000000000001E-3</v>
      </c>
    </row>
    <row r="61" spans="1:11" x14ac:dyDescent="0.3">
      <c r="A61" s="4">
        <v>265</v>
      </c>
      <c r="B61" s="5">
        <f t="shared" si="0"/>
        <v>0.17829</v>
      </c>
      <c r="C61">
        <f t="shared" si="1"/>
        <v>0.18273821359533773</v>
      </c>
      <c r="D61">
        <f t="shared" si="2"/>
        <v>37.388238501606104</v>
      </c>
      <c r="E61" s="4">
        <f t="shared" si="3"/>
        <v>598</v>
      </c>
      <c r="J61" s="2">
        <v>265</v>
      </c>
      <c r="K61" s="2">
        <v>1.7829E-3</v>
      </c>
    </row>
    <row r="62" spans="1:11" x14ac:dyDescent="0.3">
      <c r="A62" s="4">
        <v>270</v>
      </c>
      <c r="B62" s="5">
        <f t="shared" si="0"/>
        <v>0.16516</v>
      </c>
      <c r="C62">
        <f t="shared" si="1"/>
        <v>0.16973748037063527</v>
      </c>
      <c r="D62">
        <f t="shared" si="2"/>
        <v>34.728288483831975</v>
      </c>
      <c r="E62" s="4">
        <f t="shared" si="3"/>
        <v>556</v>
      </c>
      <c r="J62" s="2">
        <v>270</v>
      </c>
      <c r="K62" s="2">
        <v>1.6516E-3</v>
      </c>
    </row>
    <row r="63" spans="1:11" x14ac:dyDescent="0.3">
      <c r="A63" s="4">
        <v>275</v>
      </c>
      <c r="B63" s="5">
        <f t="shared" si="0"/>
        <v>0.15319000000000002</v>
      </c>
      <c r="C63">
        <f t="shared" si="1"/>
        <v>0.15782402914371785</v>
      </c>
      <c r="D63">
        <f t="shared" si="2"/>
        <v>32.29079636280467</v>
      </c>
      <c r="E63" s="4">
        <f t="shared" si="3"/>
        <v>517</v>
      </c>
      <c r="J63" s="2">
        <v>275</v>
      </c>
      <c r="K63" s="2">
        <v>1.5319000000000001E-3</v>
      </c>
    </row>
    <row r="64" spans="1:11" x14ac:dyDescent="0.3">
      <c r="A64" s="4">
        <v>280</v>
      </c>
      <c r="B64" s="5">
        <f t="shared" si="0"/>
        <v>0.14228000000000002</v>
      </c>
      <c r="C64">
        <f t="shared" si="1"/>
        <v>0.14691426352875092</v>
      </c>
      <c r="D64">
        <f t="shared" si="2"/>
        <v>30.058658317982438</v>
      </c>
      <c r="E64" s="4">
        <f t="shared" si="3"/>
        <v>481</v>
      </c>
      <c r="J64" s="2">
        <v>280</v>
      </c>
      <c r="K64" s="2">
        <v>1.4228000000000001E-3</v>
      </c>
    </row>
    <row r="65" spans="1:11" x14ac:dyDescent="0.3">
      <c r="A65" s="4">
        <v>285</v>
      </c>
      <c r="B65" s="5">
        <f t="shared" si="0"/>
        <v>0.13231000000000001</v>
      </c>
      <c r="C65">
        <f t="shared" si="1"/>
        <v>0.13690139912381449</v>
      </c>
      <c r="D65">
        <f t="shared" si="2"/>
        <v>28.010026260732445</v>
      </c>
      <c r="E65" s="4">
        <f t="shared" si="3"/>
        <v>448</v>
      </c>
      <c r="J65" s="2">
        <v>285</v>
      </c>
      <c r="K65" s="2">
        <v>1.3231E-3</v>
      </c>
    </row>
    <row r="66" spans="1:11" x14ac:dyDescent="0.3">
      <c r="A66" s="4">
        <v>290</v>
      </c>
      <c r="B66" s="5">
        <f t="shared" si="0"/>
        <v>0.12318999999999999</v>
      </c>
      <c r="C66">
        <f t="shared" si="1"/>
        <v>0.12770593735681157</v>
      </c>
      <c r="D66">
        <f t="shared" si="2"/>
        <v>26.128634783203648</v>
      </c>
      <c r="E66" s="4">
        <f t="shared" si="3"/>
        <v>418</v>
      </c>
      <c r="J66" s="2">
        <v>290</v>
      </c>
      <c r="K66" s="2">
        <v>1.2319E-3</v>
      </c>
    </row>
    <row r="67" spans="1:11" x14ac:dyDescent="0.3">
      <c r="A67" s="4">
        <v>295</v>
      </c>
      <c r="B67" s="5">
        <f t="shared" si="0"/>
        <v>0.11483000000000002</v>
      </c>
      <c r="C67">
        <f t="shared" si="1"/>
        <v>0.11924616237748788</v>
      </c>
      <c r="D67">
        <f t="shared" si="2"/>
        <v>24.39776482243402</v>
      </c>
      <c r="E67" s="4">
        <f t="shared" si="3"/>
        <v>390</v>
      </c>
      <c r="J67" s="2">
        <v>295</v>
      </c>
      <c r="K67" s="2">
        <v>1.1483000000000001E-3</v>
      </c>
    </row>
    <row r="68" spans="1:11" x14ac:dyDescent="0.3">
      <c r="A68" s="4">
        <v>300</v>
      </c>
      <c r="B68" s="5">
        <f t="shared" si="0"/>
        <v>0.10716000000000001</v>
      </c>
      <c r="C68">
        <f t="shared" si="1"/>
        <v>0.1114587407117716</v>
      </c>
      <c r="D68">
        <f t="shared" si="2"/>
        <v>22.804458349628469</v>
      </c>
      <c r="E68" s="4">
        <f t="shared" si="3"/>
        <v>365</v>
      </c>
      <c r="J68" s="2">
        <v>300</v>
      </c>
      <c r="K68" s="2">
        <v>1.0716E-3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_marlin_table">
                <anchor moveWithCells="1" sizeWithCells="1">
                  <from>
                    <xdr:col>13</xdr:col>
                    <xdr:colOff>213360</xdr:colOff>
                    <xdr:row>1</xdr:row>
                    <xdr:rowOff>83820</xdr:rowOff>
                  </from>
                  <to>
                    <xdr:col>13</xdr:col>
                    <xdr:colOff>1432560</xdr:colOff>
                    <xdr:row>3</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11"/>
  <sheetViews>
    <sheetView workbookViewId="0">
      <selection activeCell="A10" sqref="A10"/>
    </sheetView>
  </sheetViews>
  <sheetFormatPr defaultRowHeight="14.4" x14ac:dyDescent="0.3"/>
  <cols>
    <col min="1" max="1" width="119.109375" customWidth="1"/>
  </cols>
  <sheetData>
    <row r="1" spans="1:1" ht="43.2" x14ac:dyDescent="0.3">
      <c r="A1" s="3" t="s">
        <v>18</v>
      </c>
    </row>
    <row r="2" spans="1:1" x14ac:dyDescent="0.3">
      <c r="A2" s="3" t="s">
        <v>19</v>
      </c>
    </row>
    <row r="3" spans="1:1" ht="43.2" x14ac:dyDescent="0.3">
      <c r="A3" s="3" t="s">
        <v>28</v>
      </c>
    </row>
    <row r="4" spans="1:1" x14ac:dyDescent="0.3">
      <c r="A4" s="3" t="s">
        <v>20</v>
      </c>
    </row>
    <row r="5" spans="1:1" ht="43.2" x14ac:dyDescent="0.3">
      <c r="A5" s="3" t="s">
        <v>21</v>
      </c>
    </row>
    <row r="6" spans="1:1" ht="72" x14ac:dyDescent="0.3">
      <c r="A6" s="3" t="s">
        <v>29</v>
      </c>
    </row>
    <row r="7" spans="1:1" ht="28.8" x14ac:dyDescent="0.3">
      <c r="A7" s="3" t="s">
        <v>22</v>
      </c>
    </row>
    <row r="8" spans="1:1" ht="100.8" x14ac:dyDescent="0.3">
      <c r="A8" s="3" t="s">
        <v>27</v>
      </c>
    </row>
    <row r="9" spans="1:1" ht="43.2" x14ac:dyDescent="0.3">
      <c r="A9" s="3" t="s">
        <v>23</v>
      </c>
    </row>
    <row r="10" spans="1:1" ht="216" x14ac:dyDescent="0.3">
      <c r="A10" s="3" t="s">
        <v>30</v>
      </c>
    </row>
    <row r="11" spans="1:1" x14ac:dyDescent="0.3">
      <c r="A11" s="3"/>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J68"/>
  <sheetViews>
    <sheetView tabSelected="1" workbookViewId="0">
      <selection activeCell="J21" sqref="J21"/>
    </sheetView>
  </sheetViews>
  <sheetFormatPr defaultRowHeight="14.4" x14ac:dyDescent="0.3"/>
  <cols>
    <col min="1" max="1" width="15.88671875" customWidth="1"/>
    <col min="3" max="3" width="12" bestFit="1" customWidth="1"/>
  </cols>
  <sheetData>
    <row r="1" spans="1:10" x14ac:dyDescent="0.3">
      <c r="A1" t="s">
        <v>32</v>
      </c>
      <c r="B1" s="2">
        <v>100</v>
      </c>
      <c r="C1" t="s">
        <v>4</v>
      </c>
      <c r="G1" t="s">
        <v>3</v>
      </c>
      <c r="H1" s="2">
        <v>4.7</v>
      </c>
      <c r="I1" t="s">
        <v>4</v>
      </c>
    </row>
    <row r="2" spans="1:10" x14ac:dyDescent="0.3">
      <c r="A2" t="s">
        <v>31</v>
      </c>
      <c r="B2" s="2">
        <v>25</v>
      </c>
      <c r="C2" t="s">
        <v>33</v>
      </c>
      <c r="D2">
        <f>B2+273.15</f>
        <v>298.14999999999998</v>
      </c>
      <c r="E2" t="s">
        <v>36</v>
      </c>
      <c r="G2" t="s">
        <v>5</v>
      </c>
      <c r="H2" s="2">
        <v>5</v>
      </c>
      <c r="I2" t="s">
        <v>6</v>
      </c>
    </row>
    <row r="3" spans="1:10" x14ac:dyDescent="0.3">
      <c r="A3" t="s">
        <v>34</v>
      </c>
      <c r="B3" s="2">
        <v>4092</v>
      </c>
      <c r="G3" t="s">
        <v>7</v>
      </c>
      <c r="H3" s="2">
        <v>16</v>
      </c>
    </row>
    <row r="4" spans="1:10" x14ac:dyDescent="0.3">
      <c r="A4" t="s">
        <v>35</v>
      </c>
      <c r="B4">
        <v>100</v>
      </c>
      <c r="C4" t="s">
        <v>33</v>
      </c>
      <c r="D4">
        <f>B4+273.15</f>
        <v>373.15</v>
      </c>
      <c r="E4" t="s">
        <v>36</v>
      </c>
      <c r="G4" t="s">
        <v>13</v>
      </c>
      <c r="H4" s="2">
        <v>100</v>
      </c>
      <c r="I4" t="s">
        <v>14</v>
      </c>
    </row>
    <row r="5" spans="1:10" x14ac:dyDescent="0.3">
      <c r="G5" t="s">
        <v>16</v>
      </c>
      <c r="H5" s="2">
        <v>1023</v>
      </c>
      <c r="I5" t="s">
        <v>17</v>
      </c>
    </row>
    <row r="7" spans="1:10" x14ac:dyDescent="0.3">
      <c r="A7" t="s">
        <v>10</v>
      </c>
      <c r="B7" t="s">
        <v>37</v>
      </c>
      <c r="C7" t="s">
        <v>2</v>
      </c>
      <c r="D7" t="s">
        <v>0</v>
      </c>
      <c r="E7" t="s">
        <v>8</v>
      </c>
      <c r="F7" t="s">
        <v>15</v>
      </c>
    </row>
    <row r="8" spans="1:10" x14ac:dyDescent="0.3">
      <c r="A8" s="4">
        <v>0</v>
      </c>
      <c r="B8">
        <f>A8+273.15</f>
        <v>273.14999999999998</v>
      </c>
      <c r="C8" s="5">
        <f>$B$1*EXP($B$3*((1/B8)-(1/$D$2)))</f>
        <v>351.18555362818176</v>
      </c>
      <c r="D8">
        <f>C8*$H$2/(C8+$H$1)</f>
        <v>4.9339675360226849</v>
      </c>
      <c r="E8">
        <f>(D8/$H$2*$H$5)</f>
        <v>1009.4897578702413</v>
      </c>
      <c r="F8" s="4">
        <f>ROUND(E8*$H$3,0)</f>
        <v>16152</v>
      </c>
    </row>
    <row r="9" spans="1:10" x14ac:dyDescent="0.3">
      <c r="A9" s="4">
        <v>5</v>
      </c>
      <c r="B9">
        <f t="shared" ref="B9:B68" si="0">A9+273.15</f>
        <v>278.14999999999998</v>
      </c>
      <c r="C9" s="5">
        <f t="shared" ref="C9:C68" si="1">$B$1*EXP($B$3*((1/B9)-(1/$D$2)))</f>
        <v>268.27740627859532</v>
      </c>
      <c r="D9">
        <f t="shared" ref="D9:D68" si="2">C9*$H$2/(C9+$H$1)</f>
        <v>4.9139122892243456</v>
      </c>
      <c r="E9">
        <f t="shared" ref="E9:E68" si="3">(D9/$H$2*$H$5)</f>
        <v>1005.3864543753011</v>
      </c>
      <c r="F9" s="4">
        <f t="shared" ref="F9:F68" si="4">ROUND(E9*$H$3,0)</f>
        <v>16086</v>
      </c>
    </row>
    <row r="10" spans="1:10" x14ac:dyDescent="0.3">
      <c r="A10" s="4">
        <v>10</v>
      </c>
      <c r="B10">
        <f t="shared" si="0"/>
        <v>283.14999999999998</v>
      </c>
      <c r="C10" s="5">
        <f t="shared" si="1"/>
        <v>206.90070228536021</v>
      </c>
      <c r="D10">
        <f t="shared" si="2"/>
        <v>4.8889417674601647</v>
      </c>
      <c r="E10">
        <f t="shared" si="3"/>
        <v>1000.2774856223497</v>
      </c>
      <c r="F10" s="4">
        <f t="shared" si="4"/>
        <v>16004</v>
      </c>
    </row>
    <row r="11" spans="1:10" x14ac:dyDescent="0.3">
      <c r="A11" s="4">
        <v>15</v>
      </c>
      <c r="B11">
        <f t="shared" si="0"/>
        <v>288.14999999999998</v>
      </c>
      <c r="C11" s="5">
        <f t="shared" si="1"/>
        <v>161.01088111215768</v>
      </c>
      <c r="D11">
        <f t="shared" si="2"/>
        <v>4.8581867416171995</v>
      </c>
      <c r="E11">
        <f t="shared" si="3"/>
        <v>993.98500733487913</v>
      </c>
      <c r="F11" s="4">
        <f t="shared" si="4"/>
        <v>15904</v>
      </c>
    </row>
    <row r="12" spans="1:10" x14ac:dyDescent="0.3">
      <c r="A12" s="4">
        <v>20</v>
      </c>
      <c r="B12">
        <f t="shared" si="0"/>
        <v>293.14999999999998</v>
      </c>
      <c r="C12" s="5">
        <f t="shared" si="1"/>
        <v>126.37569008032715</v>
      </c>
      <c r="D12">
        <f t="shared" si="2"/>
        <v>4.820714275960718</v>
      </c>
      <c r="E12">
        <f t="shared" si="3"/>
        <v>986.31814086156294</v>
      </c>
      <c r="F12" s="4">
        <f t="shared" si="4"/>
        <v>15781</v>
      </c>
      <c r="J12" s="6" t="s">
        <v>58</v>
      </c>
    </row>
    <row r="13" spans="1:10" x14ac:dyDescent="0.3">
      <c r="A13" s="4">
        <v>25</v>
      </c>
      <c r="B13">
        <f t="shared" si="0"/>
        <v>298.14999999999998</v>
      </c>
      <c r="C13" s="5">
        <f t="shared" si="1"/>
        <v>100</v>
      </c>
      <c r="D13">
        <f t="shared" si="2"/>
        <v>4.7755491881566376</v>
      </c>
      <c r="E13">
        <f t="shared" si="3"/>
        <v>977.07736389684806</v>
      </c>
      <c r="F13" s="4">
        <f t="shared" si="4"/>
        <v>15633</v>
      </c>
      <c r="J13" t="s">
        <v>56</v>
      </c>
    </row>
    <row r="14" spans="1:10" x14ac:dyDescent="0.3">
      <c r="A14" s="4">
        <v>30</v>
      </c>
      <c r="B14">
        <f t="shared" si="0"/>
        <v>303.14999999999998</v>
      </c>
      <c r="C14" s="5">
        <f t="shared" si="1"/>
        <v>79.742533969295764</v>
      </c>
      <c r="D14">
        <f t="shared" si="2"/>
        <v>4.721704230138986</v>
      </c>
      <c r="E14">
        <f t="shared" si="3"/>
        <v>966.06068548643657</v>
      </c>
      <c r="F14" s="4">
        <f t="shared" si="4"/>
        <v>15457</v>
      </c>
    </row>
    <row r="15" spans="1:10" x14ac:dyDescent="0.3">
      <c r="A15" s="4">
        <v>35</v>
      </c>
      <c r="B15">
        <f t="shared" si="0"/>
        <v>308.14999999999998</v>
      </c>
      <c r="C15" s="5">
        <f t="shared" si="1"/>
        <v>64.057560065350927</v>
      </c>
      <c r="D15">
        <f t="shared" si="2"/>
        <v>4.658219401944101</v>
      </c>
      <c r="E15">
        <f t="shared" si="3"/>
        <v>953.07168963776303</v>
      </c>
      <c r="F15" s="4">
        <f t="shared" si="4"/>
        <v>15249</v>
      </c>
    </row>
    <row r="16" spans="1:10" x14ac:dyDescent="0.3">
      <c r="A16" s="4">
        <v>40</v>
      </c>
      <c r="B16">
        <f t="shared" si="0"/>
        <v>313.14999999999998</v>
      </c>
      <c r="C16" s="5">
        <f t="shared" si="1"/>
        <v>51.818908794365214</v>
      </c>
      <c r="D16">
        <f t="shared" si="2"/>
        <v>4.5842099484705034</v>
      </c>
      <c r="E16">
        <f t="shared" si="3"/>
        <v>937.92935545706496</v>
      </c>
      <c r="F16" s="4">
        <f t="shared" si="4"/>
        <v>15007</v>
      </c>
    </row>
    <row r="17" spans="1:6" x14ac:dyDescent="0.3">
      <c r="A17" s="4">
        <v>45</v>
      </c>
      <c r="B17">
        <f t="shared" si="0"/>
        <v>318.14999999999998</v>
      </c>
      <c r="C17" s="5">
        <f t="shared" si="1"/>
        <v>42.198832281652379</v>
      </c>
      <c r="D17">
        <f t="shared" si="2"/>
        <v>4.4989214260416972</v>
      </c>
      <c r="E17">
        <f t="shared" si="3"/>
        <v>920.47932376813128</v>
      </c>
      <c r="F17" s="4">
        <f t="shared" si="4"/>
        <v>14728</v>
      </c>
    </row>
    <row r="18" spans="1:6" x14ac:dyDescent="0.3">
      <c r="A18" s="4">
        <v>50</v>
      </c>
      <c r="B18">
        <f t="shared" si="0"/>
        <v>323.14999999999998</v>
      </c>
      <c r="C18" s="5">
        <f t="shared" si="1"/>
        <v>34.583787569716833</v>
      </c>
      <c r="D18">
        <f t="shared" si="2"/>
        <v>4.4017888433416807</v>
      </c>
      <c r="E18">
        <f t="shared" si="3"/>
        <v>900.6059973477079</v>
      </c>
      <c r="F18" s="4">
        <f t="shared" si="4"/>
        <v>14410</v>
      </c>
    </row>
    <row r="19" spans="1:6" x14ac:dyDescent="0.3">
      <c r="A19" s="4">
        <v>55</v>
      </c>
      <c r="B19">
        <f t="shared" si="0"/>
        <v>328.15</v>
      </c>
      <c r="C19" s="5">
        <f t="shared" si="1"/>
        <v>28.515334350813141</v>
      </c>
      <c r="D19">
        <f t="shared" si="2"/>
        <v>4.2924954555086474</v>
      </c>
      <c r="E19">
        <f t="shared" si="3"/>
        <v>878.24457019706927</v>
      </c>
      <c r="F19" s="4">
        <f t="shared" si="4"/>
        <v>14052</v>
      </c>
    </row>
    <row r="20" spans="1:6" x14ac:dyDescent="0.3">
      <c r="A20" s="4">
        <v>60</v>
      </c>
      <c r="B20">
        <f t="shared" si="0"/>
        <v>333.15</v>
      </c>
      <c r="C20" s="5">
        <f t="shared" si="1"/>
        <v>23.648281555783672</v>
      </c>
      <c r="D20">
        <f t="shared" si="2"/>
        <v>4.1710255891964119</v>
      </c>
      <c r="E20">
        <f t="shared" si="3"/>
        <v>853.39183554958595</v>
      </c>
      <c r="F20" s="4">
        <f t="shared" si="4"/>
        <v>13654</v>
      </c>
    </row>
    <row r="21" spans="1:6" x14ac:dyDescent="0.3">
      <c r="A21" s="4">
        <v>65</v>
      </c>
      <c r="B21">
        <f t="shared" si="0"/>
        <v>338.15</v>
      </c>
      <c r="C21" s="5">
        <f t="shared" si="1"/>
        <v>19.720791459989798</v>
      </c>
      <c r="D21">
        <f t="shared" si="2"/>
        <v>4.0377052259546291</v>
      </c>
      <c r="E21">
        <f t="shared" si="3"/>
        <v>826.11448923031719</v>
      </c>
      <c r="F21" s="4">
        <f t="shared" si="4"/>
        <v>13218</v>
      </c>
    </row>
    <row r="22" spans="1:6" x14ac:dyDescent="0.3">
      <c r="A22" s="4">
        <v>70</v>
      </c>
      <c r="B22">
        <f t="shared" si="0"/>
        <v>343.15</v>
      </c>
      <c r="C22" s="5">
        <f t="shared" si="1"/>
        <v>16.532847448930958</v>
      </c>
      <c r="D22">
        <f t="shared" si="2"/>
        <v>3.8932242810804363</v>
      </c>
      <c r="E22">
        <f t="shared" si="3"/>
        <v>796.55368790905732</v>
      </c>
      <c r="F22" s="4">
        <f t="shared" si="4"/>
        <v>12745</v>
      </c>
    </row>
    <row r="23" spans="1:6" x14ac:dyDescent="0.3">
      <c r="A23" s="4">
        <v>75</v>
      </c>
      <c r="B23">
        <f t="shared" si="0"/>
        <v>348.15</v>
      </c>
      <c r="C23" s="5">
        <f t="shared" si="1"/>
        <v>13.9306219863424</v>
      </c>
      <c r="D23">
        <f t="shared" si="2"/>
        <v>3.7386357783853263</v>
      </c>
      <c r="E23">
        <f t="shared" si="3"/>
        <v>764.92488025763782</v>
      </c>
      <c r="F23" s="4">
        <f t="shared" si="4"/>
        <v>12239</v>
      </c>
    </row>
    <row r="24" spans="1:6" x14ac:dyDescent="0.3">
      <c r="A24" s="4">
        <v>80</v>
      </c>
      <c r="B24">
        <f t="shared" si="0"/>
        <v>353.15</v>
      </c>
      <c r="C24" s="5">
        <f t="shared" si="1"/>
        <v>11.795041228168191</v>
      </c>
      <c r="D24">
        <f t="shared" si="2"/>
        <v>3.575329417190567</v>
      </c>
      <c r="E24">
        <f t="shared" si="3"/>
        <v>731.51239875719</v>
      </c>
      <c r="F24" s="4">
        <f t="shared" si="4"/>
        <v>11704</v>
      </c>
    </row>
    <row r="25" spans="1:6" x14ac:dyDescent="0.3">
      <c r="A25" s="4">
        <v>85</v>
      </c>
      <c r="B25">
        <f t="shared" si="0"/>
        <v>358.15</v>
      </c>
      <c r="C25" s="5">
        <f t="shared" si="1"/>
        <v>10.033358209849821</v>
      </c>
      <c r="D25">
        <f t="shared" si="2"/>
        <v>3.4049800686791594</v>
      </c>
      <c r="E25">
        <f t="shared" si="3"/>
        <v>696.65892205175601</v>
      </c>
      <c r="F25" s="4">
        <f t="shared" si="4"/>
        <v>11147</v>
      </c>
    </row>
    <row r="26" spans="1:6" x14ac:dyDescent="0.3">
      <c r="A26" s="4">
        <v>90</v>
      </c>
      <c r="B26">
        <f t="shared" si="0"/>
        <v>363.15</v>
      </c>
      <c r="C26" s="5">
        <f t="shared" si="1"/>
        <v>8.5728992729980682</v>
      </c>
      <c r="D26">
        <f t="shared" si="2"/>
        <v>3.2294749988943567</v>
      </c>
      <c r="E26">
        <f t="shared" si="3"/>
        <v>660.75058477378536</v>
      </c>
      <c r="F26" s="4">
        <f t="shared" si="4"/>
        <v>10572</v>
      </c>
    </row>
    <row r="27" spans="1:6" x14ac:dyDescent="0.3">
      <c r="A27" s="4">
        <v>95</v>
      </c>
      <c r="B27">
        <f t="shared" si="0"/>
        <v>368.15</v>
      </c>
      <c r="C27" s="5">
        <f t="shared" si="1"/>
        <v>7.3563917994962607</v>
      </c>
      <c r="D27">
        <f t="shared" si="2"/>
        <v>3.0508264503330196</v>
      </c>
      <c r="E27">
        <f t="shared" si="3"/>
        <v>624.19909173813585</v>
      </c>
      <c r="F27" s="4">
        <f t="shared" si="4"/>
        <v>9987</v>
      </c>
    </row>
    <row r="28" spans="1:6" x14ac:dyDescent="0.3">
      <c r="A28" s="4">
        <v>100</v>
      </c>
      <c r="B28">
        <f t="shared" si="0"/>
        <v>373.15</v>
      </c>
      <c r="C28" s="5">
        <f t="shared" si="1"/>
        <v>6.3384506340711759</v>
      </c>
      <c r="D28">
        <f t="shared" si="2"/>
        <v>2.8710780363083637</v>
      </c>
      <c r="E28">
        <f t="shared" si="3"/>
        <v>587.42256622869127</v>
      </c>
      <c r="F28" s="4">
        <f t="shared" si="4"/>
        <v>9399</v>
      </c>
    </row>
    <row r="29" spans="1:6" x14ac:dyDescent="0.3">
      <c r="A29" s="4">
        <v>105</v>
      </c>
      <c r="B29">
        <f t="shared" si="0"/>
        <v>378.15</v>
      </c>
      <c r="C29" s="5">
        <f t="shared" si="1"/>
        <v>5.4829192681488497</v>
      </c>
      <c r="D29">
        <f t="shared" si="2"/>
        <v>2.6922138552639177</v>
      </c>
      <c r="E29">
        <f t="shared" si="3"/>
        <v>550.82695478699748</v>
      </c>
      <c r="F29" s="4">
        <f t="shared" si="4"/>
        <v>8813</v>
      </c>
    </row>
    <row r="30" spans="1:6" x14ac:dyDescent="0.3">
      <c r="A30" s="4">
        <v>110</v>
      </c>
      <c r="B30">
        <f t="shared" si="0"/>
        <v>383.15</v>
      </c>
      <c r="C30" s="5">
        <f t="shared" si="1"/>
        <v>4.7608456862063431</v>
      </c>
      <c r="D30">
        <f t="shared" si="2"/>
        <v>2.5160782894638727</v>
      </c>
      <c r="E30">
        <f t="shared" si="3"/>
        <v>514.78961802430842</v>
      </c>
      <c r="F30" s="4">
        <f t="shared" si="4"/>
        <v>8237</v>
      </c>
    </row>
    <row r="31" spans="1:6" x14ac:dyDescent="0.3">
      <c r="A31" s="4">
        <v>115</v>
      </c>
      <c r="B31">
        <f t="shared" si="0"/>
        <v>388.15</v>
      </c>
      <c r="C31" s="5">
        <f t="shared" si="1"/>
        <v>4.1489324084806993</v>
      </c>
      <c r="D31">
        <f t="shared" si="2"/>
        <v>2.3443124079603193</v>
      </c>
      <c r="E31">
        <f t="shared" si="3"/>
        <v>479.64631866868132</v>
      </c>
      <c r="F31" s="4">
        <f t="shared" si="4"/>
        <v>7674</v>
      </c>
    </row>
    <row r="32" spans="1:6" x14ac:dyDescent="0.3">
      <c r="A32" s="4">
        <v>120</v>
      </c>
      <c r="B32">
        <f t="shared" si="0"/>
        <v>393.15</v>
      </c>
      <c r="C32" s="5">
        <f t="shared" si="1"/>
        <v>3.6283429796219324</v>
      </c>
      <c r="D32">
        <f t="shared" si="2"/>
        <v>2.1783102524114839</v>
      </c>
      <c r="E32">
        <f t="shared" si="3"/>
        <v>445.68227764338963</v>
      </c>
      <c r="F32" s="4">
        <f t="shared" si="4"/>
        <v>7131</v>
      </c>
    </row>
    <row r="33" spans="1:6" x14ac:dyDescent="0.3">
      <c r="A33" s="4">
        <v>125</v>
      </c>
      <c r="B33">
        <f t="shared" si="0"/>
        <v>398.15</v>
      </c>
      <c r="C33" s="5">
        <f t="shared" si="1"/>
        <v>3.1837779560929347</v>
      </c>
      <c r="D33">
        <f t="shared" si="2"/>
        <v>2.0191956025552251</v>
      </c>
      <c r="E33">
        <f t="shared" si="3"/>
        <v>413.12742028279905</v>
      </c>
      <c r="F33" s="4">
        <f t="shared" si="4"/>
        <v>6610</v>
      </c>
    </row>
    <row r="34" spans="1:6" x14ac:dyDescent="0.3">
      <c r="A34" s="4">
        <v>130</v>
      </c>
      <c r="B34">
        <f t="shared" si="0"/>
        <v>403.15</v>
      </c>
      <c r="C34" s="5">
        <f t="shared" si="1"/>
        <v>2.8027558018324976</v>
      </c>
      <c r="D34">
        <f t="shared" si="2"/>
        <v>1.8678175565489836</v>
      </c>
      <c r="E34">
        <f t="shared" si="3"/>
        <v>382.15547206992204</v>
      </c>
      <c r="F34" s="4">
        <f t="shared" si="4"/>
        <v>6114</v>
      </c>
    </row>
    <row r="35" spans="1:6" x14ac:dyDescent="0.3">
      <c r="A35" s="4">
        <v>135</v>
      </c>
      <c r="B35">
        <f t="shared" si="0"/>
        <v>408.15</v>
      </c>
      <c r="C35" s="5">
        <f t="shared" si="1"/>
        <v>2.4750504294910991</v>
      </c>
      <c r="D35">
        <f t="shared" si="2"/>
        <v>1.7247616959722507</v>
      </c>
      <c r="E35">
        <f t="shared" si="3"/>
        <v>352.88624299592249</v>
      </c>
      <c r="F35" s="4">
        <f t="shared" si="4"/>
        <v>5646</v>
      </c>
    </row>
    <row r="36" spans="1:6" x14ac:dyDescent="0.3">
      <c r="A36" s="4">
        <v>140</v>
      </c>
      <c r="B36">
        <f t="shared" si="0"/>
        <v>413.15</v>
      </c>
      <c r="C36" s="5">
        <f t="shared" si="1"/>
        <v>2.1922491212866708</v>
      </c>
      <c r="D36">
        <f t="shared" si="2"/>
        <v>1.5903728106083126</v>
      </c>
      <c r="E36">
        <f t="shared" si="3"/>
        <v>325.39027705046078</v>
      </c>
      <c r="F36" s="4">
        <f t="shared" si="4"/>
        <v>5206</v>
      </c>
    </row>
    <row r="37" spans="1:6" x14ac:dyDescent="0.3">
      <c r="A37" s="4">
        <v>145</v>
      </c>
      <c r="B37">
        <f t="shared" si="0"/>
        <v>418.15</v>
      </c>
      <c r="C37" s="5">
        <f t="shared" si="1"/>
        <v>1.9474034295312521</v>
      </c>
      <c r="D37">
        <f t="shared" si="2"/>
        <v>1.4647850474065294</v>
      </c>
      <c r="E37">
        <f t="shared" si="3"/>
        <v>299.6950206993759</v>
      </c>
      <c r="F37" s="4">
        <f t="shared" si="4"/>
        <v>4795</v>
      </c>
    </row>
    <row r="38" spans="1:6" x14ac:dyDescent="0.3">
      <c r="A38" s="4">
        <v>150</v>
      </c>
      <c r="B38">
        <f t="shared" si="0"/>
        <v>423.15</v>
      </c>
      <c r="C38" s="5">
        <f t="shared" si="1"/>
        <v>1.7347522461687823</v>
      </c>
      <c r="D38">
        <f t="shared" si="2"/>
        <v>1.347955740799224</v>
      </c>
      <c r="E38">
        <f t="shared" si="3"/>
        <v>275.79174456752122</v>
      </c>
      <c r="F38" s="4">
        <f t="shared" si="4"/>
        <v>4413</v>
      </c>
    </row>
    <row r="39" spans="1:6" x14ac:dyDescent="0.3">
      <c r="A39" s="4">
        <v>155</v>
      </c>
      <c r="B39">
        <f t="shared" si="0"/>
        <v>428.15</v>
      </c>
      <c r="C39" s="5">
        <f t="shared" si="1"/>
        <v>1.5495011546403632</v>
      </c>
      <c r="D39">
        <f t="shared" si="2"/>
        <v>1.2396998706767433</v>
      </c>
      <c r="E39">
        <f t="shared" si="3"/>
        <v>253.64259354046169</v>
      </c>
      <c r="F39" s="4">
        <f t="shared" si="4"/>
        <v>4058</v>
      </c>
    </row>
    <row r="40" spans="1:6" x14ac:dyDescent="0.3">
      <c r="A40" s="4">
        <v>160</v>
      </c>
      <c r="B40">
        <f t="shared" si="0"/>
        <v>433.15</v>
      </c>
      <c r="C40" s="5">
        <f t="shared" si="1"/>
        <v>1.3876458763936212</v>
      </c>
      <c r="D40">
        <f t="shared" si="2"/>
        <v>1.1397228949983502</v>
      </c>
      <c r="E40">
        <f t="shared" si="3"/>
        <v>233.18730431666245</v>
      </c>
      <c r="F40" s="4">
        <f t="shared" si="4"/>
        <v>3731</v>
      </c>
    </row>
    <row r="41" spans="1:6" x14ac:dyDescent="0.3">
      <c r="A41" s="4">
        <v>165</v>
      </c>
      <c r="B41">
        <f t="shared" si="0"/>
        <v>438.15</v>
      </c>
      <c r="C41" s="5">
        <f t="shared" si="1"/>
        <v>1.2458304173561769</v>
      </c>
      <c r="D41">
        <f t="shared" si="2"/>
        <v>1.0476504793338333</v>
      </c>
      <c r="E41">
        <f t="shared" si="3"/>
        <v>214.34928807170229</v>
      </c>
      <c r="F41" s="4">
        <f t="shared" si="4"/>
        <v>3430</v>
      </c>
    </row>
    <row r="42" spans="1:6" x14ac:dyDescent="0.3">
      <c r="A42" s="4">
        <v>170</v>
      </c>
      <c r="B42">
        <f t="shared" si="0"/>
        <v>443.15</v>
      </c>
      <c r="C42" s="5">
        <f t="shared" si="1"/>
        <v>1.121232639070237</v>
      </c>
      <c r="D42">
        <f t="shared" si="2"/>
        <v>0.96305431219574089</v>
      </c>
      <c r="E42">
        <f t="shared" si="3"/>
        <v>197.04091227524859</v>
      </c>
      <c r="F42" s="4">
        <f t="shared" si="4"/>
        <v>3153</v>
      </c>
    </row>
    <row r="43" spans="1:6" x14ac:dyDescent="0.3">
      <c r="A43" s="4">
        <v>175</v>
      </c>
      <c r="B43">
        <f t="shared" si="0"/>
        <v>448.15</v>
      </c>
      <c r="C43" s="5">
        <f t="shared" si="1"/>
        <v>1.0114715951376221</v>
      </c>
      <c r="D43">
        <f t="shared" si="2"/>
        <v>0.88547371573967348</v>
      </c>
      <c r="E43">
        <f t="shared" si="3"/>
        <v>181.16792224033719</v>
      </c>
      <c r="F43" s="4">
        <f t="shared" si="4"/>
        <v>2899</v>
      </c>
    </row>
    <row r="44" spans="1:6" x14ac:dyDescent="0.3">
      <c r="A44" s="4">
        <v>180</v>
      </c>
      <c r="B44">
        <f t="shared" si="0"/>
        <v>453.15</v>
      </c>
      <c r="C44" s="5">
        <f t="shared" si="1"/>
        <v>0.91453221147759745</v>
      </c>
      <c r="D44">
        <f t="shared" si="2"/>
        <v>0.81443313265533523</v>
      </c>
      <c r="E44">
        <f t="shared" si="3"/>
        <v>166.63301894128159</v>
      </c>
      <c r="F44" s="4">
        <f t="shared" si="4"/>
        <v>2666</v>
      </c>
    </row>
    <row r="45" spans="1:6" x14ac:dyDescent="0.3">
      <c r="A45" s="4">
        <v>185</v>
      </c>
      <c r="B45">
        <f t="shared" si="0"/>
        <v>458.15</v>
      </c>
      <c r="C45" s="5">
        <f t="shared" si="1"/>
        <v>0.82870384140973463</v>
      </c>
      <c r="D45">
        <f t="shared" si="2"/>
        <v>0.74945580843269388</v>
      </c>
      <c r="E45">
        <f t="shared" si="3"/>
        <v>153.33865840532917</v>
      </c>
      <c r="F45" s="4">
        <f t="shared" si="4"/>
        <v>2453</v>
      </c>
    </row>
    <row r="46" spans="1:6" x14ac:dyDescent="0.3">
      <c r="A46" s="4">
        <v>190</v>
      </c>
      <c r="B46">
        <f t="shared" si="0"/>
        <v>463.15</v>
      </c>
      <c r="C46" s="5">
        <f t="shared" si="1"/>
        <v>0.75252996273279338</v>
      </c>
      <c r="D46">
        <f t="shared" si="2"/>
        <v>0.69007411960706344</v>
      </c>
      <c r="E46">
        <f t="shared" si="3"/>
        <v>141.18916487160516</v>
      </c>
      <c r="F46" s="4">
        <f t="shared" si="4"/>
        <v>2259</v>
      </c>
    </row>
    <row r="47" spans="1:6" x14ac:dyDescent="0.3">
      <c r="A47" s="4">
        <v>195</v>
      </c>
      <c r="B47">
        <f t="shared" si="0"/>
        <v>468.15</v>
      </c>
      <c r="C47" s="5">
        <f t="shared" si="1"/>
        <v>0.68476685534356441</v>
      </c>
      <c r="D47">
        <f t="shared" si="2"/>
        <v>0.63583705083167819</v>
      </c>
      <c r="E47">
        <f t="shared" si="3"/>
        <v>130.09226060016138</v>
      </c>
      <c r="F47" s="4">
        <f t="shared" si="4"/>
        <v>2081</v>
      </c>
    </row>
    <row r="48" spans="1:6" x14ac:dyDescent="0.3">
      <c r="A48" s="4">
        <v>200</v>
      </c>
      <c r="B48">
        <f t="shared" si="0"/>
        <v>473.15</v>
      </c>
      <c r="C48" s="5">
        <f t="shared" si="1"/>
        <v>0.62434954324782965</v>
      </c>
      <c r="D48">
        <f t="shared" si="2"/>
        <v>0.58631532187777735</v>
      </c>
      <c r="E48">
        <f t="shared" si="3"/>
        <v>119.96011485619326</v>
      </c>
      <c r="F48" s="4">
        <f t="shared" si="4"/>
        <v>1919</v>
      </c>
    </row>
    <row r="49" spans="1:6" x14ac:dyDescent="0.3">
      <c r="A49" s="4">
        <v>205</v>
      </c>
      <c r="B49">
        <f t="shared" si="0"/>
        <v>478.15</v>
      </c>
      <c r="C49" s="5">
        <f t="shared" si="1"/>
        <v>0.57036363326776374</v>
      </c>
      <c r="D49">
        <f t="shared" si="2"/>
        <v>0.54110463049218804</v>
      </c>
      <c r="E49">
        <f t="shared" si="3"/>
        <v>110.71000739870168</v>
      </c>
      <c r="F49" s="4">
        <f t="shared" si="4"/>
        <v>1771</v>
      </c>
    </row>
    <row r="50" spans="1:6" x14ac:dyDescent="0.3">
      <c r="A50" s="4">
        <v>210</v>
      </c>
      <c r="B50">
        <f t="shared" si="0"/>
        <v>483.15</v>
      </c>
      <c r="C50" s="5">
        <f t="shared" si="1"/>
        <v>0.52202195647755467</v>
      </c>
      <c r="D50">
        <f t="shared" si="2"/>
        <v>0.49982742396364566</v>
      </c>
      <c r="E50">
        <f t="shared" si="3"/>
        <v>102.26469094296189</v>
      </c>
      <c r="F50" s="4">
        <f t="shared" si="4"/>
        <v>1636</v>
      </c>
    </row>
    <row r="51" spans="1:6" x14ac:dyDescent="0.3">
      <c r="A51" s="4">
        <v>215</v>
      </c>
      <c r="B51">
        <f t="shared" si="0"/>
        <v>488.15</v>
      </c>
      <c r="C51" s="5">
        <f t="shared" si="1"/>
        <v>0.47864513424240307</v>
      </c>
      <c r="D51">
        <f t="shared" si="2"/>
        <v>0.4621335521500502</v>
      </c>
      <c r="E51">
        <f t="shared" si="3"/>
        <v>94.552524769900273</v>
      </c>
      <c r="F51" s="4">
        <f t="shared" si="4"/>
        <v>1513</v>
      </c>
    </row>
    <row r="52" spans="1:6" x14ac:dyDescent="0.3">
      <c r="A52" s="4">
        <v>220</v>
      </c>
      <c r="B52">
        <f t="shared" si="0"/>
        <v>493.15</v>
      </c>
      <c r="C52" s="5">
        <f t="shared" si="1"/>
        <v>0.43964536156405748</v>
      </c>
      <c r="D52">
        <f t="shared" si="2"/>
        <v>0.42770009469122983</v>
      </c>
      <c r="E52">
        <f t="shared" si="3"/>
        <v>87.507439373825619</v>
      </c>
      <c r="F52" s="4">
        <f t="shared" si="4"/>
        <v>1400</v>
      </c>
    </row>
    <row r="53" spans="1:6" x14ac:dyDescent="0.3">
      <c r="A53" s="4">
        <v>225</v>
      </c>
      <c r="B53">
        <f t="shared" si="0"/>
        <v>498.15</v>
      </c>
      <c r="C53" s="5">
        <f t="shared" si="1"/>
        <v>0.40451283612231947</v>
      </c>
      <c r="D53">
        <f t="shared" si="2"/>
        <v>0.39623059938234045</v>
      </c>
      <c r="E53">
        <f t="shared" si="3"/>
        <v>81.068780633626858</v>
      </c>
      <c r="F53" s="4">
        <f t="shared" si="4"/>
        <v>1297</v>
      </c>
    </row>
    <row r="54" spans="1:6" x14ac:dyDescent="0.3">
      <c r="A54" s="4">
        <v>230</v>
      </c>
      <c r="B54">
        <f t="shared" si="0"/>
        <v>503.15</v>
      </c>
      <c r="C54" s="5">
        <f t="shared" si="1"/>
        <v>0.37280436955212215</v>
      </c>
      <c r="D54">
        <f t="shared" si="2"/>
        <v>0.36745391936436639</v>
      </c>
      <c r="E54">
        <f t="shared" si="3"/>
        <v>75.181071901949366</v>
      </c>
      <c r="F54" s="4">
        <f t="shared" si="4"/>
        <v>1203</v>
      </c>
    </row>
    <row r="55" spans="1:6" x14ac:dyDescent="0.3">
      <c r="A55" s="4">
        <v>235</v>
      </c>
      <c r="B55">
        <f t="shared" si="0"/>
        <v>508.15</v>
      </c>
      <c r="C55" s="5">
        <f t="shared" si="1"/>
        <v>0.34413380399108839</v>
      </c>
      <c r="D55">
        <f t="shared" si="2"/>
        <v>0.34112279467963175</v>
      </c>
      <c r="E55">
        <f t="shared" si="3"/>
        <v>69.793723791452663</v>
      </c>
      <c r="F55" s="4">
        <f t="shared" si="4"/>
        <v>1117</v>
      </c>
    </row>
    <row r="56" spans="1:6" x14ac:dyDescent="0.3">
      <c r="A56" s="4">
        <v>240</v>
      </c>
      <c r="B56">
        <f t="shared" si="0"/>
        <v>513.15</v>
      </c>
      <c r="C56" s="5">
        <f t="shared" si="1"/>
        <v>0.31816392633791962</v>
      </c>
      <c r="D56">
        <f t="shared" si="2"/>
        <v>0.31701228876564874</v>
      </c>
      <c r="E56">
        <f t="shared" si="3"/>
        <v>64.860714281451735</v>
      </c>
      <c r="F56" s="4">
        <f t="shared" si="4"/>
        <v>1038</v>
      </c>
    </row>
    <row r="57" spans="1:6" x14ac:dyDescent="0.3">
      <c r="A57" s="4">
        <v>245</v>
      </c>
      <c r="B57">
        <f t="shared" si="0"/>
        <v>518.15</v>
      </c>
      <c r="C57" s="5">
        <f t="shared" si="1"/>
        <v>0.29459962853367899</v>
      </c>
      <c r="D57">
        <f t="shared" si="2"/>
        <v>0.29491816205913574</v>
      </c>
      <c r="E57">
        <f t="shared" si="3"/>
        <v>60.340255957299178</v>
      </c>
      <c r="F57" s="4">
        <f t="shared" si="4"/>
        <v>965</v>
      </c>
    </row>
    <row r="58" spans="1:6" x14ac:dyDescent="0.3">
      <c r="A58" s="4">
        <v>250</v>
      </c>
      <c r="B58">
        <f t="shared" si="0"/>
        <v>523.15</v>
      </c>
      <c r="C58" s="5">
        <f t="shared" si="1"/>
        <v>0.27318210729636744</v>
      </c>
      <c r="D58">
        <f t="shared" si="2"/>
        <v>0.27465524225985039</v>
      </c>
      <c r="E58">
        <f t="shared" si="3"/>
        <v>56.194462566365388</v>
      </c>
      <c r="F58" s="4">
        <f t="shared" si="4"/>
        <v>899</v>
      </c>
    </row>
    <row r="59" spans="1:6" x14ac:dyDescent="0.3">
      <c r="A59" s="4">
        <v>255</v>
      </c>
      <c r="B59">
        <f t="shared" si="0"/>
        <v>528.15</v>
      </c>
      <c r="C59" s="5">
        <f t="shared" si="1"/>
        <v>0.25368393328525279</v>
      </c>
      <c r="D59">
        <f t="shared" si="2"/>
        <v>0.25605583309491764</v>
      </c>
      <c r="E59">
        <f t="shared" si="3"/>
        <v>52.389023451220147</v>
      </c>
      <c r="F59" s="4">
        <f t="shared" si="4"/>
        <v>838</v>
      </c>
    </row>
    <row r="60" spans="1:6" x14ac:dyDescent="0.3">
      <c r="A60" s="4">
        <v>260</v>
      </c>
      <c r="B60">
        <f t="shared" si="0"/>
        <v>533.15</v>
      </c>
      <c r="C60" s="5">
        <f t="shared" si="1"/>
        <v>0.23590484936225575</v>
      </c>
      <c r="D60">
        <f t="shared" si="2"/>
        <v>0.23896818978665671</v>
      </c>
      <c r="E60">
        <f t="shared" si="3"/>
        <v>48.892891630349958</v>
      </c>
      <c r="F60" s="4">
        <f t="shared" si="4"/>
        <v>782</v>
      </c>
    </row>
    <row r="61" spans="1:6" x14ac:dyDescent="0.3">
      <c r="A61" s="4">
        <v>265</v>
      </c>
      <c r="B61">
        <f t="shared" si="0"/>
        <v>538.15</v>
      </c>
      <c r="C61" s="5">
        <f t="shared" si="1"/>
        <v>0.21966818180936404</v>
      </c>
      <c r="D61">
        <f t="shared" si="2"/>
        <v>0.22325507909414946</v>
      </c>
      <c r="E61">
        <f t="shared" si="3"/>
        <v>45.677989182662984</v>
      </c>
      <c r="F61" s="4">
        <f t="shared" si="4"/>
        <v>731</v>
      </c>
    </row>
    <row r="62" spans="1:6" x14ac:dyDescent="0.3">
      <c r="A62" s="4">
        <v>270</v>
      </c>
      <c r="B62">
        <f t="shared" si="0"/>
        <v>543.15</v>
      </c>
      <c r="C62" s="5">
        <f t="shared" si="1"/>
        <v>0.20481776812796412</v>
      </c>
      <c r="D62">
        <f t="shared" si="2"/>
        <v>0.20879243410315068</v>
      </c>
      <c r="E62">
        <f t="shared" si="3"/>
        <v>42.718932017504628</v>
      </c>
      <c r="F62" s="4">
        <f t="shared" si="4"/>
        <v>684</v>
      </c>
    </row>
    <row r="63" spans="1:6" x14ac:dyDescent="0.3">
      <c r="A63" s="4">
        <v>275</v>
      </c>
      <c r="B63">
        <f t="shared" si="0"/>
        <v>548.15</v>
      </c>
      <c r="C63" s="5">
        <f t="shared" si="1"/>
        <v>0.19121532124218626</v>
      </c>
      <c r="D63">
        <f t="shared" si="2"/>
        <v>0.1954681083163036</v>
      </c>
      <c r="E63">
        <f t="shared" si="3"/>
        <v>39.992774961515714</v>
      </c>
      <c r="F63" s="4">
        <f t="shared" si="4"/>
        <v>640</v>
      </c>
    </row>
    <row r="64" spans="1:6" x14ac:dyDescent="0.3">
      <c r="A64" s="4">
        <v>280</v>
      </c>
      <c r="B64">
        <f t="shared" si="0"/>
        <v>553.15</v>
      </c>
      <c r="C64" s="5">
        <f t="shared" si="1"/>
        <v>0.1787381632346727</v>
      </c>
      <c r="D64">
        <f t="shared" si="2"/>
        <v>0.18318072958046056</v>
      </c>
      <c r="E64">
        <f t="shared" si="3"/>
        <v>37.478777272162233</v>
      </c>
      <c r="F64" s="4">
        <f t="shared" si="4"/>
        <v>600</v>
      </c>
    </row>
    <row r="65" spans="1:6" x14ac:dyDescent="0.3">
      <c r="A65" s="4">
        <v>285</v>
      </c>
      <c r="B65">
        <f t="shared" si="0"/>
        <v>558.15</v>
      </c>
      <c r="C65" s="5">
        <f t="shared" si="1"/>
        <v>0.16727727270409323</v>
      </c>
      <c r="D65">
        <f t="shared" si="2"/>
        <v>0.17183865160321929</v>
      </c>
      <c r="E65">
        <f t="shared" si="3"/>
        <v>35.158188118018664</v>
      </c>
      <c r="F65" s="4">
        <f t="shared" si="4"/>
        <v>563</v>
      </c>
    </row>
    <row r="66" spans="1:6" x14ac:dyDescent="0.3">
      <c r="A66" s="4">
        <v>290</v>
      </c>
      <c r="B66">
        <f t="shared" si="0"/>
        <v>563.15</v>
      </c>
      <c r="C66" s="5">
        <f t="shared" si="1"/>
        <v>0.1567355988858524</v>
      </c>
      <c r="D66">
        <f t="shared" si="2"/>
        <v>0.16135899895580885</v>
      </c>
      <c r="E66">
        <f t="shared" si="3"/>
        <v>33.014051186358493</v>
      </c>
      <c r="F66" s="4">
        <f t="shared" si="4"/>
        <v>528</v>
      </c>
    </row>
    <row r="67" spans="1:6" x14ac:dyDescent="0.3">
      <c r="A67" s="4">
        <v>295</v>
      </c>
      <c r="B67">
        <f t="shared" si="0"/>
        <v>568.15</v>
      </c>
      <c r="C67" s="5">
        <f t="shared" si="1"/>
        <v>0.14702660317198177</v>
      </c>
      <c r="D67">
        <f t="shared" si="2"/>
        <v>0.15166680029749052</v>
      </c>
      <c r="E67">
        <f t="shared" si="3"/>
        <v>31.031027340866562</v>
      </c>
      <c r="F67" s="4">
        <f t="shared" si="4"/>
        <v>496</v>
      </c>
    </row>
    <row r="68" spans="1:6" x14ac:dyDescent="0.3">
      <c r="A68" s="4">
        <v>300</v>
      </c>
      <c r="B68">
        <f t="shared" si="0"/>
        <v>573.15</v>
      </c>
      <c r="C68" s="5">
        <f t="shared" si="1"/>
        <v>0.13807299488640329</v>
      </c>
      <c r="D68">
        <f t="shared" si="2"/>
        <v>0.14269420390343365</v>
      </c>
      <c r="E68">
        <f t="shared" si="3"/>
        <v>29.195234118642524</v>
      </c>
      <c r="F68" s="4">
        <f t="shared" si="4"/>
        <v>467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export_marlin_table_BETA">
                <anchor moveWithCells="1" sizeWithCells="1">
                  <from>
                    <xdr:col>9</xdr:col>
                    <xdr:colOff>182880</xdr:colOff>
                    <xdr:row>7</xdr:row>
                    <xdr:rowOff>83820</xdr:rowOff>
                  </from>
                  <to>
                    <xdr:col>11</xdr:col>
                    <xdr:colOff>182880</xdr:colOff>
                    <xdr:row>9</xdr:row>
                    <xdr:rowOff>22860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
  <sheetViews>
    <sheetView workbookViewId="0">
      <selection activeCell="A5" sqref="A5"/>
    </sheetView>
  </sheetViews>
  <sheetFormatPr defaultRowHeight="14.4" x14ac:dyDescent="0.3"/>
  <sheetData>
    <row r="1" spans="1:1" x14ac:dyDescent="0.3">
      <c r="A1" t="s">
        <v>60</v>
      </c>
    </row>
    <row r="2" spans="1:1" x14ac:dyDescent="0.3">
      <c r="A2" t="s">
        <v>59</v>
      </c>
    </row>
    <row r="3" spans="1:1" x14ac:dyDescent="0.3">
      <c r="A3" t="s">
        <v>61</v>
      </c>
    </row>
    <row r="4" spans="1:1" x14ac:dyDescent="0.3">
      <c r="A4" t="s">
        <v>68</v>
      </c>
    </row>
    <row r="5" spans="1:1" x14ac:dyDescent="0.3">
      <c r="A5" t="s">
        <v>62</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Q70"/>
  <sheetViews>
    <sheetView zoomScaleNormal="100" workbookViewId="0">
      <selection activeCell="K28" sqref="K28"/>
    </sheetView>
  </sheetViews>
  <sheetFormatPr defaultRowHeight="14.4" x14ac:dyDescent="0.3"/>
  <cols>
    <col min="1" max="1" width="13" customWidth="1"/>
    <col min="4" max="4" width="10" bestFit="1" customWidth="1"/>
    <col min="15" max="15" width="12" bestFit="1" customWidth="1"/>
  </cols>
  <sheetData>
    <row r="1" spans="1:17" x14ac:dyDescent="0.3">
      <c r="A1" t="s">
        <v>3</v>
      </c>
      <c r="B1" s="2">
        <v>4.7</v>
      </c>
      <c r="C1" t="s">
        <v>4</v>
      </c>
      <c r="G1" t="s">
        <v>38</v>
      </c>
      <c r="H1" t="s">
        <v>10</v>
      </c>
      <c r="I1" t="s">
        <v>54</v>
      </c>
      <c r="J1" t="s">
        <v>37</v>
      </c>
      <c r="K1" t="s">
        <v>39</v>
      </c>
      <c r="M1" t="s">
        <v>40</v>
      </c>
      <c r="P1" t="s">
        <v>46</v>
      </c>
    </row>
    <row r="2" spans="1:17" x14ac:dyDescent="0.3">
      <c r="A2" t="s">
        <v>5</v>
      </c>
      <c r="B2" s="2">
        <v>5</v>
      </c>
      <c r="C2" t="s">
        <v>6</v>
      </c>
      <c r="G2">
        <v>1</v>
      </c>
      <c r="H2" s="2">
        <v>25</v>
      </c>
      <c r="I2" s="2">
        <v>100</v>
      </c>
      <c r="J2">
        <f>H2+273.15</f>
        <v>298.14999999999998</v>
      </c>
      <c r="K2">
        <f>LN(I2)</f>
        <v>4.6051701859880918</v>
      </c>
      <c r="M2" t="s">
        <v>41</v>
      </c>
      <c r="N2">
        <f>K2-K3</f>
        <v>4.3453476104153905</v>
      </c>
      <c r="P2" t="s">
        <v>47</v>
      </c>
      <c r="Q2">
        <f>(N4-N2*N5/N3)/(N6-N2*N7/N3)</f>
        <v>5.634284767450175E-7</v>
      </c>
    </row>
    <row r="3" spans="1:17" x14ac:dyDescent="0.3">
      <c r="A3" t="s">
        <v>7</v>
      </c>
      <c r="B3" s="2">
        <v>16</v>
      </c>
      <c r="G3">
        <v>2</v>
      </c>
      <c r="H3" s="2">
        <v>160</v>
      </c>
      <c r="I3" s="2">
        <v>1.2967</v>
      </c>
      <c r="J3">
        <f>H3+273.15</f>
        <v>433.15</v>
      </c>
      <c r="K3">
        <f t="shared" ref="K3:K4" si="0">LN(I3)</f>
        <v>0.2598225755727015</v>
      </c>
      <c r="M3" t="s">
        <v>42</v>
      </c>
      <c r="N3">
        <f>K2-K4</f>
        <v>5.5755211947121905</v>
      </c>
      <c r="P3" t="s">
        <v>48</v>
      </c>
      <c r="Q3">
        <f>(N4-Q2*N6)/N2</f>
        <v>2.2790587830047221E-4</v>
      </c>
    </row>
    <row r="4" spans="1:17" x14ac:dyDescent="0.3">
      <c r="A4" t="s">
        <v>13</v>
      </c>
      <c r="B4" s="2">
        <v>100</v>
      </c>
      <c r="C4" t="s">
        <v>14</v>
      </c>
      <c r="G4">
        <v>3</v>
      </c>
      <c r="H4" s="2">
        <v>220</v>
      </c>
      <c r="I4" s="2">
        <v>0.37895000000000001</v>
      </c>
      <c r="J4">
        <f>H4+273.15</f>
        <v>493.15</v>
      </c>
      <c r="K4">
        <f t="shared" si="0"/>
        <v>-0.97035100872409896</v>
      </c>
      <c r="M4" t="s">
        <v>43</v>
      </c>
      <c r="N4">
        <f>1/J2-1/J3</f>
        <v>1.0453473823891762E-3</v>
      </c>
      <c r="P4" t="s">
        <v>49</v>
      </c>
      <c r="Q4">
        <f>1/J2-Q2*K2^3-Q3*K2</f>
        <v>2.2494440774435279E-3</v>
      </c>
    </row>
    <row r="5" spans="1:17" x14ac:dyDescent="0.3">
      <c r="A5" t="s">
        <v>16</v>
      </c>
      <c r="B5" s="2">
        <v>1023</v>
      </c>
      <c r="C5" t="s">
        <v>17</v>
      </c>
      <c r="M5" t="s">
        <v>44</v>
      </c>
      <c r="N5">
        <f>1/J2-1/J4</f>
        <v>1.326235840540816E-3</v>
      </c>
    </row>
    <row r="6" spans="1:17" x14ac:dyDescent="0.3">
      <c r="M6" t="s">
        <v>6</v>
      </c>
      <c r="N6">
        <f>K2^3-K3^3</f>
        <v>97.647032387212377</v>
      </c>
    </row>
    <row r="7" spans="1:17" x14ac:dyDescent="0.3">
      <c r="M7" t="s">
        <v>45</v>
      </c>
      <c r="N7">
        <f>K2^3-K4^3</f>
        <v>98.578236580988388</v>
      </c>
    </row>
    <row r="9" spans="1:17" x14ac:dyDescent="0.3">
      <c r="A9" t="s">
        <v>50</v>
      </c>
      <c r="B9" t="s">
        <v>51</v>
      </c>
      <c r="C9" t="s">
        <v>52</v>
      </c>
      <c r="D9" t="s">
        <v>53</v>
      </c>
      <c r="E9" t="s">
        <v>55</v>
      </c>
      <c r="F9" t="s">
        <v>0</v>
      </c>
      <c r="G9" t="s">
        <v>8</v>
      </c>
      <c r="H9" t="s">
        <v>15</v>
      </c>
    </row>
    <row r="10" spans="1:17" x14ac:dyDescent="0.3">
      <c r="A10" s="4">
        <v>0</v>
      </c>
      <c r="B10">
        <f>A10+273.15</f>
        <v>273.14999999999998</v>
      </c>
      <c r="C10">
        <f t="shared" ref="C10:C41" si="1">($Q$4-(1/B10))/$Q$2</f>
        <v>-2505.2834737392918</v>
      </c>
      <c r="D10">
        <f>SQRT(($Q$3/(3*$Q$2))^3+(C10^2)/4)</f>
        <v>2005.0822222902787</v>
      </c>
      <c r="E10" s="5">
        <f>EXP((D10-(C10/2))^(1/3)-(D10+(C10/2))^(1/3))</f>
        <v>307.58714114316274</v>
      </c>
      <c r="F10">
        <f>E10*$B$2/(E10+$B$1)</f>
        <v>4.9247487427308867</v>
      </c>
      <c r="G10">
        <f>(F10/$B$2*$B$5)</f>
        <v>1007.6035927627394</v>
      </c>
      <c r="H10" s="4">
        <f>ROUND(G10*$B$3,0)</f>
        <v>16122</v>
      </c>
    </row>
    <row r="11" spans="1:17" x14ac:dyDescent="0.3">
      <c r="A11" s="4">
        <v>5</v>
      </c>
      <c r="B11">
        <f t="shared" ref="B11:B70" si="2">A11+273.15</f>
        <v>278.14999999999998</v>
      </c>
      <c r="C11">
        <f t="shared" si="1"/>
        <v>-2388.4812955151901</v>
      </c>
      <c r="D11">
        <f t="shared" ref="D11:D70" si="3">SQRT(($Q$3/(3*$Q$2))^3+(C11^2)/4)</f>
        <v>1969.1252174387485</v>
      </c>
      <c r="E11" s="5">
        <f t="shared" ref="E11:E70" si="4">EXP((D11-(C11/2))^(1/3)-(D11+(C11/2))^(1/3))</f>
        <v>243.39349551719661</v>
      </c>
      <c r="F11">
        <f>E11*$B$2/(E11+$B$1)</f>
        <v>4.9052776456270655</v>
      </c>
      <c r="G11">
        <f t="shared" ref="G11:G70" si="5">(F11/$B$2*$B$5)</f>
        <v>1003.6198062952975</v>
      </c>
      <c r="H11" s="4">
        <f t="shared" ref="H11:H70" si="6">ROUND(G11*$B$3,0)</f>
        <v>16058</v>
      </c>
    </row>
    <row r="12" spans="1:17" x14ac:dyDescent="0.3">
      <c r="A12" s="4">
        <v>10</v>
      </c>
      <c r="B12">
        <f t="shared" si="2"/>
        <v>283.14999999999998</v>
      </c>
      <c r="C12">
        <f t="shared" si="1"/>
        <v>-2275.8042162924694</v>
      </c>
      <c r="D12">
        <f t="shared" si="3"/>
        <v>1935.4752917359508</v>
      </c>
      <c r="E12" s="5">
        <f t="shared" si="4"/>
        <v>193.51515302672064</v>
      </c>
      <c r="F12">
        <f>E12*$B$2/(E12+$B$1)</f>
        <v>4.8814419602075931</v>
      </c>
      <c r="G12">
        <f t="shared" si="5"/>
        <v>998.74302505847356</v>
      </c>
      <c r="H12" s="4">
        <f t="shared" si="6"/>
        <v>15980</v>
      </c>
    </row>
    <row r="13" spans="1:17" x14ac:dyDescent="0.3">
      <c r="A13" s="4">
        <v>15</v>
      </c>
      <c r="B13">
        <f t="shared" si="2"/>
        <v>288.14999999999998</v>
      </c>
      <c r="C13">
        <f t="shared" si="1"/>
        <v>-2167.0374990070281</v>
      </c>
      <c r="D13">
        <f t="shared" si="3"/>
        <v>1904.0105771035983</v>
      </c>
      <c r="E13" s="5">
        <f t="shared" si="4"/>
        <v>154.57990181492349</v>
      </c>
      <c r="F13">
        <f t="shared" ref="F13:F70" si="7">E13*$B$2/(E13+$B$1)</f>
        <v>4.8524609838891912</v>
      </c>
      <c r="G13">
        <f t="shared" si="5"/>
        <v>992.81351730372853</v>
      </c>
      <c r="H13" s="4">
        <f t="shared" si="6"/>
        <v>15885</v>
      </c>
    </row>
    <row r="14" spans="1:17" x14ac:dyDescent="0.3">
      <c r="A14" s="4">
        <v>20</v>
      </c>
      <c r="B14">
        <f t="shared" si="2"/>
        <v>293.14999999999998</v>
      </c>
      <c r="C14">
        <f t="shared" si="1"/>
        <v>-2061.9810569146775</v>
      </c>
      <c r="D14">
        <f t="shared" si="3"/>
        <v>1874.6159251871998</v>
      </c>
      <c r="E14" s="5">
        <f t="shared" si="4"/>
        <v>124.04849371419556</v>
      </c>
      <c r="F14">
        <f t="shared" si="7"/>
        <v>4.8174735927228252</v>
      </c>
      <c r="G14">
        <f t="shared" si="5"/>
        <v>985.65509707109004</v>
      </c>
      <c r="H14" s="4">
        <f t="shared" si="6"/>
        <v>15770</v>
      </c>
    </row>
    <row r="15" spans="1:17" x14ac:dyDescent="0.3">
      <c r="A15" s="4">
        <v>25</v>
      </c>
      <c r="B15">
        <f t="shared" si="2"/>
        <v>298.14999999999998</v>
      </c>
      <c r="C15">
        <f t="shared" si="1"/>
        <v>-1960.4482251557945</v>
      </c>
      <c r="D15">
        <f t="shared" si="3"/>
        <v>1847.1823700100229</v>
      </c>
      <c r="E15" s="5">
        <f t="shared" si="4"/>
        <v>100.00000000000023</v>
      </c>
      <c r="F15">
        <f t="shared" si="7"/>
        <v>4.7755491881566385</v>
      </c>
      <c r="G15">
        <f t="shared" si="5"/>
        <v>977.07736389684828</v>
      </c>
      <c r="H15" s="4">
        <f t="shared" si="6"/>
        <v>15633</v>
      </c>
    </row>
    <row r="16" spans="1:17" x14ac:dyDescent="0.3">
      <c r="A16" s="4">
        <v>30</v>
      </c>
      <c r="B16">
        <f t="shared" si="2"/>
        <v>303.14999999999998</v>
      </c>
      <c r="C16">
        <f t="shared" si="1"/>
        <v>-1862.2646538870613</v>
      </c>
      <c r="D16">
        <f t="shared" si="3"/>
        <v>1821.6066555313175</v>
      </c>
      <c r="E16" s="5">
        <f t="shared" si="4"/>
        <v>80.97465674689542</v>
      </c>
      <c r="F16">
        <f t="shared" si="7"/>
        <v>4.7257065170459347</v>
      </c>
      <c r="G16">
        <f t="shared" si="5"/>
        <v>966.87955338759821</v>
      </c>
      <c r="H16" s="4">
        <f t="shared" si="6"/>
        <v>15470</v>
      </c>
      <c r="L16" s="6" t="s">
        <v>58</v>
      </c>
    </row>
    <row r="17" spans="1:12" x14ac:dyDescent="0.3">
      <c r="A17" s="4">
        <v>35</v>
      </c>
      <c r="B17">
        <f t="shared" si="2"/>
        <v>308.14999999999998</v>
      </c>
      <c r="C17">
        <f t="shared" si="1"/>
        <v>-1767.2673091725624</v>
      </c>
      <c r="D17">
        <f t="shared" si="3"/>
        <v>1797.7908200661793</v>
      </c>
      <c r="E17" s="5">
        <f t="shared" si="4"/>
        <v>65.85824019503869</v>
      </c>
      <c r="F17">
        <f t="shared" si="7"/>
        <v>4.6669418067253261</v>
      </c>
      <c r="G17">
        <f t="shared" si="5"/>
        <v>954.85629365600175</v>
      </c>
      <c r="H17" s="4">
        <f t="shared" si="6"/>
        <v>15278</v>
      </c>
      <c r="L17" t="s">
        <v>56</v>
      </c>
    </row>
    <row r="18" spans="1:12" x14ac:dyDescent="0.3">
      <c r="A18" s="4">
        <v>40</v>
      </c>
      <c r="B18">
        <f t="shared" si="2"/>
        <v>313.14999999999998</v>
      </c>
      <c r="C18">
        <f t="shared" si="1"/>
        <v>-1675.3035695902522</v>
      </c>
      <c r="D18">
        <f t="shared" si="3"/>
        <v>1775.6418303720993</v>
      </c>
      <c r="E18" s="5">
        <f t="shared" si="4"/>
        <v>53.796594556647754</v>
      </c>
      <c r="F18">
        <f t="shared" si="7"/>
        <v>4.5982672123375874</v>
      </c>
      <c r="G18">
        <f t="shared" si="5"/>
        <v>940.80547164427037</v>
      </c>
      <c r="H18" s="4">
        <f t="shared" si="6"/>
        <v>15053</v>
      </c>
      <c r="L18" t="s">
        <v>57</v>
      </c>
    </row>
    <row r="19" spans="1:12" x14ac:dyDescent="0.3">
      <c r="A19" s="4">
        <v>45</v>
      </c>
      <c r="B19">
        <f t="shared" si="2"/>
        <v>318.14999999999998</v>
      </c>
      <c r="C19">
        <f t="shared" si="1"/>
        <v>-1586.2304080240453</v>
      </c>
      <c r="D19">
        <f t="shared" si="3"/>
        <v>1755.0712589612283</v>
      </c>
      <c r="E19" s="5">
        <f t="shared" si="4"/>
        <v>44.132158703152072</v>
      </c>
      <c r="F19">
        <f t="shared" si="7"/>
        <v>4.5187597553723728</v>
      </c>
      <c r="G19">
        <f t="shared" si="5"/>
        <v>924.53824594918751</v>
      </c>
      <c r="H19" s="4">
        <f t="shared" si="6"/>
        <v>14793</v>
      </c>
    </row>
    <row r="20" spans="1:12" x14ac:dyDescent="0.3">
      <c r="A20" s="4">
        <v>50</v>
      </c>
      <c r="B20">
        <f t="shared" si="2"/>
        <v>323.14999999999998</v>
      </c>
      <c r="C20">
        <f t="shared" si="1"/>
        <v>-1499.9136494151708</v>
      </c>
      <c r="D20">
        <f t="shared" si="3"/>
        <v>1735.9949988759192</v>
      </c>
      <c r="E20" s="5">
        <f t="shared" si="4"/>
        <v>36.356619011908293</v>
      </c>
      <c r="F20">
        <f t="shared" si="7"/>
        <v>4.4276196977353655</v>
      </c>
      <c r="G20">
        <f t="shared" si="5"/>
        <v>905.89099015665579</v>
      </c>
      <c r="H20" s="4">
        <f t="shared" si="6"/>
        <v>14494</v>
      </c>
    </row>
    <row r="21" spans="1:12" x14ac:dyDescent="0.3">
      <c r="A21" s="4">
        <v>55</v>
      </c>
      <c r="B21">
        <f t="shared" si="2"/>
        <v>328.15</v>
      </c>
      <c r="C21">
        <f t="shared" si="1"/>
        <v>-1416.2272963710957</v>
      </c>
      <c r="D21">
        <f t="shared" si="3"/>
        <v>1718.3330107820675</v>
      </c>
      <c r="E21" s="5">
        <f t="shared" si="4"/>
        <v>30.075437724878295</v>
      </c>
      <c r="F21">
        <f t="shared" si="7"/>
        <v>4.3242356807722322</v>
      </c>
      <c r="G21">
        <f t="shared" si="5"/>
        <v>884.73862028599865</v>
      </c>
      <c r="H21" s="4">
        <f t="shared" si="6"/>
        <v>14156</v>
      </c>
    </row>
    <row r="22" spans="1:12" x14ac:dyDescent="0.3">
      <c r="A22" s="4">
        <v>60</v>
      </c>
      <c r="B22">
        <f t="shared" si="2"/>
        <v>333.15</v>
      </c>
      <c r="C22">
        <f t="shared" si="1"/>
        <v>-1335.0529155030392</v>
      </c>
      <c r="D22">
        <f t="shared" si="3"/>
        <v>1702.0090978003054</v>
      </c>
      <c r="E22" s="5">
        <f t="shared" si="4"/>
        <v>24.98116561388396</v>
      </c>
      <c r="F22">
        <f t="shared" si="7"/>
        <v>4.2082521183397397</v>
      </c>
      <c r="G22">
        <f t="shared" si="5"/>
        <v>861.00838341231076</v>
      </c>
      <c r="H22" s="4">
        <f t="shared" si="6"/>
        <v>13776</v>
      </c>
    </row>
    <row r="23" spans="1:12" x14ac:dyDescent="0.3">
      <c r="A23" s="4">
        <v>65</v>
      </c>
      <c r="B23">
        <f t="shared" si="2"/>
        <v>338.15</v>
      </c>
      <c r="C23">
        <f t="shared" si="1"/>
        <v>-1256.2790782064174</v>
      </c>
      <c r="D23">
        <f t="shared" si="3"/>
        <v>1686.9507040164244</v>
      </c>
      <c r="E23" s="5">
        <f t="shared" si="4"/>
        <v>20.83328058197959</v>
      </c>
      <c r="F23">
        <f t="shared" si="7"/>
        <v>4.0796325632913231</v>
      </c>
      <c r="G23">
        <f t="shared" si="5"/>
        <v>834.69282244940473</v>
      </c>
      <c r="H23" s="4">
        <f t="shared" si="6"/>
        <v>13355</v>
      </c>
    </row>
    <row r="24" spans="1:12" x14ac:dyDescent="0.3">
      <c r="A24" s="4">
        <v>70</v>
      </c>
      <c r="B24">
        <f t="shared" si="2"/>
        <v>343.15</v>
      </c>
      <c r="C24">
        <f t="shared" si="1"/>
        <v>-1179.8008503312328</v>
      </c>
      <c r="D24">
        <f t="shared" si="3"/>
        <v>1673.0887330943608</v>
      </c>
      <c r="E24" s="5">
        <f t="shared" si="4"/>
        <v>17.442894911246515</v>
      </c>
      <c r="F24">
        <f t="shared" si="7"/>
        <v>3.9387114876264802</v>
      </c>
      <c r="G24">
        <f t="shared" si="5"/>
        <v>805.86037036837786</v>
      </c>
      <c r="H24" s="4">
        <f t="shared" si="6"/>
        <v>12894</v>
      </c>
    </row>
    <row r="25" spans="1:12" x14ac:dyDescent="0.3">
      <c r="A25" s="4">
        <v>75</v>
      </c>
      <c r="B25">
        <f t="shared" si="2"/>
        <v>348.15</v>
      </c>
      <c r="C25">
        <f t="shared" si="1"/>
        <v>-1105.5193258274455</v>
      </c>
      <c r="D25">
        <f t="shared" si="3"/>
        <v>1660.3573838608395</v>
      </c>
      <c r="E25" s="5">
        <f t="shared" si="4"/>
        <v>14.661109687763208</v>
      </c>
      <c r="F25">
        <f t="shared" si="7"/>
        <v>3.7862265965647262</v>
      </c>
      <c r="G25">
        <f t="shared" si="5"/>
        <v>774.66196165714302</v>
      </c>
      <c r="H25" s="4">
        <f t="shared" si="6"/>
        <v>12395</v>
      </c>
    </row>
    <row r="26" spans="1:12" x14ac:dyDescent="0.3">
      <c r="A26" s="4">
        <v>80</v>
      </c>
      <c r="B26">
        <f t="shared" si="2"/>
        <v>353.15</v>
      </c>
      <c r="C26">
        <f t="shared" si="1"/>
        <v>-1033.3412000070437</v>
      </c>
      <c r="D26">
        <f t="shared" si="3"/>
        <v>1648.6940001421483</v>
      </c>
      <c r="E26" s="5">
        <f t="shared" si="4"/>
        <v>12.370112346678011</v>
      </c>
      <c r="F26">
        <f t="shared" si="7"/>
        <v>3.62332481926674</v>
      </c>
      <c r="G26">
        <f t="shared" si="5"/>
        <v>741.33225802197501</v>
      </c>
      <c r="H26" s="4">
        <f t="shared" si="6"/>
        <v>11861</v>
      </c>
    </row>
    <row r="27" spans="1:12" x14ac:dyDescent="0.3">
      <c r="A27" s="4">
        <v>85</v>
      </c>
      <c r="B27">
        <f t="shared" si="2"/>
        <v>358.15</v>
      </c>
      <c r="C27">
        <f t="shared" si="1"/>
        <v>-963.17837855130563</v>
      </c>
      <c r="D27">
        <f t="shared" si="3"/>
        <v>1638.038932511648</v>
      </c>
      <c r="E27" s="5">
        <f t="shared" si="4"/>
        <v>10.476345460252929</v>
      </c>
      <c r="F27">
        <f t="shared" si="7"/>
        <v>3.4515376207304427</v>
      </c>
      <c r="G27">
        <f t="shared" si="5"/>
        <v>706.18459720144858</v>
      </c>
      <c r="H27" s="4">
        <f t="shared" si="6"/>
        <v>11299</v>
      </c>
    </row>
    <row r="28" spans="1:12" x14ac:dyDescent="0.3">
      <c r="A28" s="4">
        <v>90</v>
      </c>
      <c r="B28">
        <f t="shared" si="2"/>
        <v>363.15</v>
      </c>
      <c r="C28">
        <f t="shared" si="1"/>
        <v>-894.94761881815373</v>
      </c>
      <c r="D28">
        <f t="shared" si="3"/>
        <v>1628.3354099520741</v>
      </c>
      <c r="E28" s="5">
        <f t="shared" si="4"/>
        <v>8.9052454442202311</v>
      </c>
      <c r="F28">
        <f t="shared" si="7"/>
        <v>3.2727250238632593</v>
      </c>
      <c r="G28">
        <f t="shared" si="5"/>
        <v>669.59953988242285</v>
      </c>
      <c r="H28" s="4">
        <f t="shared" si="6"/>
        <v>10714</v>
      </c>
    </row>
    <row r="29" spans="1:12" x14ac:dyDescent="0.3">
      <c r="A29" s="4">
        <v>95</v>
      </c>
      <c r="B29">
        <f t="shared" si="2"/>
        <v>368.15</v>
      </c>
      <c r="C29">
        <f t="shared" si="1"/>
        <v>-828.57020037885388</v>
      </c>
      <c r="D29">
        <f t="shared" si="3"/>
        <v>1619.5294197499725</v>
      </c>
      <c r="E29" s="5">
        <f t="shared" si="4"/>
        <v>7.5971756558171641</v>
      </c>
      <c r="F29">
        <f t="shared" si="7"/>
        <v>3.0889920858466922</v>
      </c>
      <c r="G29">
        <f t="shared" si="5"/>
        <v>632.0077807642333</v>
      </c>
      <c r="H29" s="4">
        <f t="shared" si="6"/>
        <v>10112</v>
      </c>
    </row>
    <row r="30" spans="1:12" x14ac:dyDescent="0.3">
      <c r="A30" s="4">
        <v>100</v>
      </c>
      <c r="B30">
        <f t="shared" si="2"/>
        <v>373.15</v>
      </c>
      <c r="C30">
        <f t="shared" si="1"/>
        <v>-763.9716220424425</v>
      </c>
      <c r="D30">
        <f t="shared" si="3"/>
        <v>1611.5695942211923</v>
      </c>
      <c r="E30" s="5">
        <f t="shared" si="4"/>
        <v>6.5042715159363089</v>
      </c>
      <c r="F30">
        <f t="shared" si="7"/>
        <v>2.9025856373995436</v>
      </c>
      <c r="G30">
        <f t="shared" si="5"/>
        <v>593.86902141194662</v>
      </c>
      <c r="H30" s="4">
        <f t="shared" si="6"/>
        <v>9502</v>
      </c>
    </row>
    <row r="31" spans="1:12" x14ac:dyDescent="0.3">
      <c r="A31" s="4">
        <v>105</v>
      </c>
      <c r="B31">
        <f t="shared" si="2"/>
        <v>378.15</v>
      </c>
      <c r="C31">
        <f t="shared" si="1"/>
        <v>-701.08132291630329</v>
      </c>
      <c r="D31">
        <f t="shared" si="3"/>
        <v>1604.4071031169854</v>
      </c>
      <c r="E31" s="5">
        <f t="shared" si="4"/>
        <v>5.5879845455137325</v>
      </c>
      <c r="F31">
        <f t="shared" si="7"/>
        <v>2.7157819497067952</v>
      </c>
      <c r="G31">
        <f t="shared" si="5"/>
        <v>555.64898691001031</v>
      </c>
      <c r="H31" s="4">
        <f t="shared" si="6"/>
        <v>8890</v>
      </c>
    </row>
    <row r="32" spans="1:12" x14ac:dyDescent="0.3">
      <c r="A32" s="4">
        <v>110</v>
      </c>
      <c r="B32">
        <f t="shared" si="2"/>
        <v>383.15</v>
      </c>
      <c r="C32">
        <f t="shared" si="1"/>
        <v>-639.83242530722305</v>
      </c>
      <c r="D32">
        <f t="shared" si="3"/>
        <v>1597.9955507808365</v>
      </c>
      <c r="E32" s="5">
        <f t="shared" si="4"/>
        <v>4.8171638908203125</v>
      </c>
      <c r="F32">
        <f t="shared" si="7"/>
        <v>2.5307769972663077</v>
      </c>
      <c r="G32">
        <f t="shared" si="5"/>
        <v>517.79697364068647</v>
      </c>
      <c r="H32" s="4">
        <f t="shared" si="6"/>
        <v>8285</v>
      </c>
    </row>
    <row r="33" spans="1:8" x14ac:dyDescent="0.3">
      <c r="A33" s="4">
        <v>115</v>
      </c>
      <c r="B33">
        <f t="shared" si="2"/>
        <v>388.15</v>
      </c>
      <c r="C33">
        <f t="shared" si="1"/>
        <v>-580.16149749355941</v>
      </c>
      <c r="D33">
        <f t="shared" si="3"/>
        <v>1592.2908773180266</v>
      </c>
      <c r="E33" s="5">
        <f t="shared" si="4"/>
        <v>4.1665526259767702</v>
      </c>
      <c r="F33">
        <f t="shared" si="7"/>
        <v>2.3495899712870472</v>
      </c>
      <c r="G33">
        <f t="shared" si="5"/>
        <v>480.72610812532986</v>
      </c>
      <c r="H33" s="4">
        <f t="shared" si="6"/>
        <v>7692</v>
      </c>
    </row>
    <row r="34" spans="1:8" x14ac:dyDescent="0.3">
      <c r="A34" s="4">
        <v>120</v>
      </c>
      <c r="B34">
        <f t="shared" si="2"/>
        <v>393.15</v>
      </c>
      <c r="C34">
        <f t="shared" si="1"/>
        <v>-522.00833459948444</v>
      </c>
      <c r="D34">
        <f t="shared" si="3"/>
        <v>1587.251263204585</v>
      </c>
      <c r="E34" s="5">
        <f t="shared" si="4"/>
        <v>3.615605224284435</v>
      </c>
      <c r="F34">
        <f t="shared" si="7"/>
        <v>2.1739880181695139</v>
      </c>
      <c r="G34">
        <f t="shared" si="5"/>
        <v>444.79794851748255</v>
      </c>
      <c r="H34" s="4">
        <f t="shared" si="6"/>
        <v>7117</v>
      </c>
    </row>
    <row r="35" spans="1:8" x14ac:dyDescent="0.3">
      <c r="A35" s="4">
        <v>125</v>
      </c>
      <c r="B35">
        <f t="shared" si="2"/>
        <v>398.15</v>
      </c>
      <c r="C35">
        <f t="shared" si="1"/>
        <v>-465.3157559800328</v>
      </c>
      <c r="D35">
        <f t="shared" si="3"/>
        <v>1582.8370369016311</v>
      </c>
      <c r="E35" s="5">
        <f t="shared" si="4"/>
        <v>3.1475545462369756</v>
      </c>
      <c r="F35">
        <f t="shared" si="7"/>
        <v>2.0054365520442778</v>
      </c>
      <c r="G35">
        <f t="shared" si="5"/>
        <v>410.31231854825927</v>
      </c>
      <c r="H35" s="4">
        <f t="shared" si="6"/>
        <v>6565</v>
      </c>
    </row>
    <row r="36" spans="1:8" x14ac:dyDescent="0.3">
      <c r="A36" s="4">
        <v>130</v>
      </c>
      <c r="B36">
        <f t="shared" si="2"/>
        <v>403.15</v>
      </c>
      <c r="C36">
        <f t="shared" si="1"/>
        <v>-410.0294176835236</v>
      </c>
      <c r="D36">
        <f t="shared" si="3"/>
        <v>1579.0105851571075</v>
      </c>
      <c r="E36" s="5">
        <f t="shared" si="4"/>
        <v>2.7486733140448525</v>
      </c>
      <c r="F36">
        <f t="shared" si="7"/>
        <v>1.8450757592376141</v>
      </c>
      <c r="G36">
        <f t="shared" si="5"/>
        <v>377.50250034001584</v>
      </c>
      <c r="H36" s="4">
        <f t="shared" si="6"/>
        <v>6040</v>
      </c>
    </row>
    <row r="37" spans="1:8" x14ac:dyDescent="0.3">
      <c r="A37" s="4">
        <v>135</v>
      </c>
      <c r="B37">
        <f t="shared" si="2"/>
        <v>408.15</v>
      </c>
      <c r="C37">
        <f t="shared" si="1"/>
        <v>-356.09763869845597</v>
      </c>
      <c r="D37">
        <f t="shared" si="3"/>
        <v>1575.7362657717733</v>
      </c>
      <c r="E37" s="5">
        <f t="shared" si="4"/>
        <v>2.407687668976028</v>
      </c>
      <c r="F37">
        <f t="shared" si="7"/>
        <v>1.6937207859352184</v>
      </c>
      <c r="G37">
        <f t="shared" si="5"/>
        <v>346.53527280234567</v>
      </c>
      <c r="H37" s="4">
        <f t="shared" si="6"/>
        <v>5545</v>
      </c>
    </row>
    <row r="38" spans="1:8" x14ac:dyDescent="0.3">
      <c r="A38" s="4">
        <v>140</v>
      </c>
      <c r="B38">
        <f t="shared" si="2"/>
        <v>413.15</v>
      </c>
      <c r="C38">
        <f t="shared" si="1"/>
        <v>-303.47123981710655</v>
      </c>
      <c r="D38">
        <f t="shared" si="3"/>
        <v>1572.9803226823124</v>
      </c>
      <c r="E38" s="5">
        <f t="shared" si="4"/>
        <v>2.115310031218554</v>
      </c>
      <c r="F38">
        <f t="shared" si="7"/>
        <v>1.5518810013990982</v>
      </c>
      <c r="G38">
        <f t="shared" si="5"/>
        <v>317.51485288625548</v>
      </c>
      <c r="H38" s="4">
        <f t="shared" si="6"/>
        <v>5080</v>
      </c>
    </row>
    <row r="39" spans="1:8" x14ac:dyDescent="0.3">
      <c r="A39" s="4">
        <v>145</v>
      </c>
      <c r="B39">
        <f t="shared" si="2"/>
        <v>418.15</v>
      </c>
      <c r="C39">
        <f t="shared" si="1"/>
        <v>-252.10339405978709</v>
      </c>
      <c r="D39">
        <f t="shared" si="3"/>
        <v>1570.710803273739</v>
      </c>
      <c r="E39" s="5">
        <f t="shared" si="4"/>
        <v>1.8638658405662394</v>
      </c>
      <c r="F39">
        <f t="shared" si="7"/>
        <v>1.419792760728829</v>
      </c>
      <c r="G39">
        <f t="shared" si="5"/>
        <v>290.48959884511845</v>
      </c>
      <c r="H39" s="4">
        <f t="shared" si="6"/>
        <v>4648</v>
      </c>
    </row>
    <row r="40" spans="1:8" x14ac:dyDescent="0.3">
      <c r="A40" s="4">
        <v>150</v>
      </c>
      <c r="B40">
        <f t="shared" si="2"/>
        <v>423.15</v>
      </c>
      <c r="C40">
        <f t="shared" si="1"/>
        <v>-201.94948770356217</v>
      </c>
      <c r="D40">
        <f t="shared" si="3"/>
        <v>1568.8974778782238</v>
      </c>
      <c r="E40" s="5">
        <f t="shared" si="4"/>
        <v>1.6469944011096846</v>
      </c>
      <c r="F40">
        <f t="shared" si="7"/>
        <v>1.2974601023925043</v>
      </c>
      <c r="G40">
        <f t="shared" si="5"/>
        <v>265.46033694950637</v>
      </c>
      <c r="H40" s="4">
        <f t="shared" si="6"/>
        <v>4247</v>
      </c>
    </row>
    <row r="41" spans="1:8" x14ac:dyDescent="0.3">
      <c r="A41" s="4">
        <v>155</v>
      </c>
      <c r="B41">
        <f t="shared" si="2"/>
        <v>428.15</v>
      </c>
      <c r="C41">
        <f t="shared" si="1"/>
        <v>-152.96699104852235</v>
      </c>
      <c r="D41">
        <f t="shared" si="3"/>
        <v>1567.5117614500787</v>
      </c>
      <c r="E41" s="5">
        <f t="shared" si="4"/>
        <v>1.4594083970564509</v>
      </c>
      <c r="F41">
        <f t="shared" si="7"/>
        <v>1.1846985156511902</v>
      </c>
      <c r="G41">
        <f t="shared" si="5"/>
        <v>242.38931630223351</v>
      </c>
      <c r="H41" s="4">
        <f t="shared" si="6"/>
        <v>3878</v>
      </c>
    </row>
    <row r="42" spans="1:8" x14ac:dyDescent="0.3">
      <c r="A42" s="4">
        <v>160</v>
      </c>
      <c r="B42">
        <f t="shared" si="2"/>
        <v>433.15</v>
      </c>
      <c r="C42">
        <f t="shared" ref="C42:C70" si="8">($Q$4-(1/B42))/$Q$2</f>
        <v>-105.11533813479721</v>
      </c>
      <c r="D42">
        <f t="shared" si="3"/>
        <v>1566.5266374289704</v>
      </c>
      <c r="E42" s="5">
        <f t="shared" si="4"/>
        <v>1.2966999999999962</v>
      </c>
      <c r="F42">
        <f t="shared" si="7"/>
        <v>1.0811779812230036</v>
      </c>
      <c r="G42">
        <f t="shared" si="5"/>
        <v>221.20901495822653</v>
      </c>
      <c r="H42" s="4">
        <f t="shared" si="6"/>
        <v>3539</v>
      </c>
    </row>
    <row r="43" spans="1:8" x14ac:dyDescent="0.3">
      <c r="A43" s="4">
        <v>165</v>
      </c>
      <c r="B43">
        <f t="shared" si="2"/>
        <v>438.15</v>
      </c>
      <c r="C43">
        <f t="shared" si="8"/>
        <v>-58.355814695309967</v>
      </c>
      <c r="D43">
        <f t="shared" si="3"/>
        <v>1565.9165838172564</v>
      </c>
      <c r="E43" s="5">
        <f t="shared" si="4"/>
        <v>1.1551840842751822</v>
      </c>
      <c r="F43">
        <f t="shared" si="7"/>
        <v>0.98646265228242047</v>
      </c>
      <c r="G43">
        <f t="shared" si="5"/>
        <v>201.83025865698323</v>
      </c>
      <c r="H43" s="4">
        <f t="shared" si="6"/>
        <v>3229</v>
      </c>
    </row>
    <row r="44" spans="1:8" x14ac:dyDescent="0.3">
      <c r="A44" s="4">
        <v>170</v>
      </c>
      <c r="B44">
        <f t="shared" si="2"/>
        <v>443.15</v>
      </c>
      <c r="C44">
        <f t="shared" si="8"/>
        <v>-12.65145369381124</v>
      </c>
      <c r="D44">
        <f t="shared" si="3"/>
        <v>1565.6575015043552</v>
      </c>
      <c r="E44" s="5">
        <f t="shared" si="4"/>
        <v>1.0317710833570697</v>
      </c>
      <c r="F44">
        <f t="shared" si="7"/>
        <v>0.90004561273647943</v>
      </c>
      <c r="G44">
        <f t="shared" si="5"/>
        <v>184.14933236588371</v>
      </c>
      <c r="H44" s="4">
        <f t="shared" si="6"/>
        <v>2946</v>
      </c>
    </row>
    <row r="45" spans="1:8" x14ac:dyDescent="0.3">
      <c r="A45" s="4">
        <v>175</v>
      </c>
      <c r="B45">
        <f t="shared" si="2"/>
        <v>448.15</v>
      </c>
      <c r="C45">
        <f t="shared" si="8"/>
        <v>32.033062144204138</v>
      </c>
      <c r="D45">
        <f t="shared" si="3"/>
        <v>1565.7266448726937</v>
      </c>
      <c r="E45" s="5">
        <f t="shared" si="4"/>
        <v>0.92386359078067604</v>
      </c>
      <c r="F45">
        <f t="shared" si="7"/>
        <v>0.82137802230408474</v>
      </c>
      <c r="G45">
        <f t="shared" si="5"/>
        <v>168.05394336341575</v>
      </c>
      <c r="H45" s="4">
        <f t="shared" si="6"/>
        <v>2689</v>
      </c>
    </row>
    <row r="46" spans="1:8" x14ac:dyDescent="0.3">
      <c r="A46" s="4">
        <v>180</v>
      </c>
      <c r="B46">
        <f t="shared" si="2"/>
        <v>453.15</v>
      </c>
      <c r="C46">
        <f t="shared" si="8"/>
        <v>75.731491347815208</v>
      </c>
      <c r="D46">
        <f t="shared" si="3"/>
        <v>1566.1025547173338</v>
      </c>
      <c r="E46" s="5">
        <f t="shared" si="4"/>
        <v>0.82927203590801868</v>
      </c>
      <c r="F46">
        <f t="shared" si="7"/>
        <v>0.74989259935357422</v>
      </c>
      <c r="G46">
        <f t="shared" si="5"/>
        <v>153.42802582774127</v>
      </c>
      <c r="H46" s="4">
        <f t="shared" si="6"/>
        <v>2455</v>
      </c>
    </row>
    <row r="47" spans="1:8" x14ac:dyDescent="0.3">
      <c r="A47" s="4">
        <v>185</v>
      </c>
      <c r="B47">
        <f t="shared" si="2"/>
        <v>458.15</v>
      </c>
      <c r="C47">
        <f t="shared" si="8"/>
        <v>118.47611875717587</v>
      </c>
      <c r="D47">
        <f t="shared" si="3"/>
        <v>1566.7649935059371</v>
      </c>
      <c r="E47" s="5">
        <f t="shared" si="4"/>
        <v>0.74614572600155726</v>
      </c>
      <c r="F47">
        <f t="shared" si="7"/>
        <v>0.68502181500508752</v>
      </c>
      <c r="G47">
        <f t="shared" si="5"/>
        <v>140.15546335004092</v>
      </c>
      <c r="H47" s="4">
        <f t="shared" si="6"/>
        <v>2242</v>
      </c>
    </row>
    <row r="48" spans="1:8" x14ac:dyDescent="0.3">
      <c r="A48" s="4">
        <v>190</v>
      </c>
      <c r="B48">
        <f t="shared" si="2"/>
        <v>463.15</v>
      </c>
      <c r="C48">
        <f t="shared" si="8"/>
        <v>160.29783507057664</v>
      </c>
      <c r="D48">
        <f t="shared" si="3"/>
        <v>1567.6948829982182</v>
      </c>
      <c r="E48" s="5">
        <f t="shared" si="4"/>
        <v>0.67291630116029011</v>
      </c>
      <c r="F48">
        <f t="shared" si="7"/>
        <v>0.6262114124269651</v>
      </c>
      <c r="G48">
        <f t="shared" si="5"/>
        <v>128.12285498255704</v>
      </c>
      <c r="H48" s="4">
        <f t="shared" si="6"/>
        <v>2050</v>
      </c>
    </row>
    <row r="49" spans="1:8" x14ac:dyDescent="0.3">
      <c r="A49" s="4">
        <v>195</v>
      </c>
      <c r="B49">
        <f t="shared" si="2"/>
        <v>468.15</v>
      </c>
      <c r="C49">
        <f t="shared" si="8"/>
        <v>201.22621129397646</v>
      </c>
      <c r="D49">
        <f t="shared" si="3"/>
        <v>1568.8742442352257</v>
      </c>
      <c r="E49" s="5">
        <f t="shared" si="4"/>
        <v>0.60825124355793303</v>
      </c>
      <c r="F49">
        <f t="shared" si="7"/>
        <v>0.57292996850526212</v>
      </c>
      <c r="G49">
        <f t="shared" si="5"/>
        <v>117.22147155617662</v>
      </c>
      <c r="H49" s="4">
        <f t="shared" si="6"/>
        <v>1876</v>
      </c>
    </row>
    <row r="50" spans="1:8" x14ac:dyDescent="0.3">
      <c r="A50" s="4">
        <v>200</v>
      </c>
      <c r="B50">
        <f t="shared" si="2"/>
        <v>473.15</v>
      </c>
      <c r="C50">
        <f t="shared" si="8"/>
        <v>241.28956847006816</v>
      </c>
      <c r="D50">
        <f t="shared" si="3"/>
        <v>1570.2861398992977</v>
      </c>
      <c r="E50" s="5">
        <f t="shared" si="4"/>
        <v>0.55101555237506017</v>
      </c>
      <c r="F50">
        <f t="shared" si="7"/>
        <v>0.52467522413434209</v>
      </c>
      <c r="G50">
        <f t="shared" si="5"/>
        <v>107.34855085788638</v>
      </c>
      <c r="H50" s="4">
        <f t="shared" si="6"/>
        <v>1718</v>
      </c>
    </row>
    <row r="51" spans="1:8" x14ac:dyDescent="0.3">
      <c r="A51" s="4">
        <v>205</v>
      </c>
      <c r="B51">
        <f t="shared" si="2"/>
        <v>478.15</v>
      </c>
      <c r="C51">
        <f t="shared" si="8"/>
        <v>280.51504303241717</v>
      </c>
      <c r="D51">
        <f t="shared" si="3"/>
        <v>1571.9146190358395</v>
      </c>
      <c r="E51" s="5">
        <f t="shared" si="4"/>
        <v>0.50024006808256871</v>
      </c>
      <c r="F51">
        <f t="shared" si="7"/>
        <v>0.48097786018849809</v>
      </c>
      <c r="G51">
        <f t="shared" si="5"/>
        <v>98.408070194566704</v>
      </c>
      <c r="H51" s="4">
        <f t="shared" si="6"/>
        <v>1575</v>
      </c>
    </row>
    <row r="52" spans="1:8" x14ac:dyDescent="0.3">
      <c r="A52" s="4">
        <v>210</v>
      </c>
      <c r="B52">
        <f t="shared" si="2"/>
        <v>483.15</v>
      </c>
      <c r="C52">
        <f t="shared" si="8"/>
        <v>318.92864810159926</v>
      </c>
      <c r="D52">
        <f t="shared" si="3"/>
        <v>1573.7446641185784</v>
      </c>
      <c r="E52" s="5">
        <f t="shared" si="4"/>
        <v>0.45509522540745828</v>
      </c>
      <c r="F52">
        <f t="shared" si="7"/>
        <v>0.44140331604785005</v>
      </c>
      <c r="G52">
        <f t="shared" si="5"/>
        <v>90.311118463390116</v>
      </c>
      <c r="H52" s="4">
        <f t="shared" si="6"/>
        <v>1445</v>
      </c>
    </row>
    <row r="53" spans="1:8" x14ac:dyDescent="0.3">
      <c r="A53" s="4">
        <v>215</v>
      </c>
      <c r="B53">
        <f t="shared" si="2"/>
        <v>488.15</v>
      </c>
      <c r="C53">
        <f t="shared" si="8"/>
        <v>356.55533101428915</v>
      </c>
      <c r="D53">
        <f t="shared" si="3"/>
        <v>1575.7621404309077</v>
      </c>
      <c r="E53" s="5">
        <f t="shared" si="4"/>
        <v>0.41486924977255363</v>
      </c>
      <c r="F53">
        <f t="shared" si="7"/>
        <v>0.40555215540553835</v>
      </c>
      <c r="G53">
        <f t="shared" si="5"/>
        <v>82.975970995973142</v>
      </c>
      <c r="H53" s="4">
        <f t="shared" si="6"/>
        <v>1328</v>
      </c>
    </row>
    <row r="54" spans="1:8" x14ac:dyDescent="0.3">
      <c r="A54" s="4">
        <v>220</v>
      </c>
      <c r="B54">
        <f t="shared" si="2"/>
        <v>493.15</v>
      </c>
      <c r="C54">
        <f t="shared" si="8"/>
        <v>393.41902735265649</v>
      </c>
      <c r="D54">
        <f t="shared" si="3"/>
        <v>1577.953747727574</v>
      </c>
      <c r="E54" s="5">
        <f t="shared" si="4"/>
        <v>0.37894999999999973</v>
      </c>
      <c r="F54">
        <f t="shared" si="7"/>
        <v>0.37305939219720585</v>
      </c>
      <c r="G54">
        <f t="shared" si="5"/>
        <v>76.327951643548317</v>
      </c>
      <c r="H54" s="4">
        <f t="shared" si="6"/>
        <v>1221</v>
      </c>
    </row>
    <row r="55" spans="1:8" x14ac:dyDescent="0.3">
      <c r="A55" s="4">
        <v>225</v>
      </c>
      <c r="B55">
        <f t="shared" si="2"/>
        <v>498.15</v>
      </c>
      <c r="C55">
        <f t="shared" si="8"/>
        <v>429.54271171996385</v>
      </c>
      <c r="D55">
        <f t="shared" si="3"/>
        <v>1580.3069741333973</v>
      </c>
      <c r="E55" s="5">
        <f t="shared" si="4"/>
        <v>0.34680981055765114</v>
      </c>
      <c r="F55">
        <f t="shared" si="7"/>
        <v>0.34359310492753653</v>
      </c>
      <c r="G55">
        <f t="shared" si="5"/>
        <v>70.299149268173977</v>
      </c>
      <c r="H55" s="4">
        <f t="shared" si="6"/>
        <v>1125</v>
      </c>
    </row>
    <row r="56" spans="1:8" x14ac:dyDescent="0.3">
      <c r="A56" s="4">
        <v>230</v>
      </c>
      <c r="B56">
        <f t="shared" si="2"/>
        <v>503.15</v>
      </c>
      <c r="C56">
        <f t="shared" si="8"/>
        <v>464.94844548869617</v>
      </c>
      <c r="D56">
        <f t="shared" si="3"/>
        <v>1582.8100522290435</v>
      </c>
      <c r="E56" s="5">
        <f t="shared" si="4"/>
        <v>0.31799280739708957</v>
      </c>
      <c r="F56">
        <f t="shared" si="7"/>
        <v>0.31685259385817782</v>
      </c>
      <c r="G56">
        <f t="shared" si="5"/>
        <v>64.828040703383181</v>
      </c>
      <c r="H56" s="4">
        <f t="shared" si="6"/>
        <v>1037</v>
      </c>
    </row>
    <row r="57" spans="1:8" x14ac:dyDescent="0.3">
      <c r="A57" s="4">
        <v>235</v>
      </c>
      <c r="B57">
        <f t="shared" si="2"/>
        <v>508.15</v>
      </c>
      <c r="C57">
        <f t="shared" si="8"/>
        <v>499.65742172975541</v>
      </c>
      <c r="D57">
        <f t="shared" si="3"/>
        <v>1585.4519172681098</v>
      </c>
      <c r="E57" s="5">
        <f t="shared" si="4"/>
        <v>0.29210426859402561</v>
      </c>
      <c r="F57">
        <f t="shared" si="7"/>
        <v>0.29256627353688441</v>
      </c>
      <c r="G57">
        <f t="shared" si="5"/>
        <v>59.859059565646547</v>
      </c>
      <c r="H57" s="4">
        <f t="shared" si="6"/>
        <v>958</v>
      </c>
    </row>
    <row r="58" spans="1:8" x14ac:dyDescent="0.3">
      <c r="A58" s="4">
        <v>240</v>
      </c>
      <c r="B58">
        <f t="shared" si="2"/>
        <v>513.15</v>
      </c>
      <c r="C58">
        <f t="shared" si="8"/>
        <v>533.6900075149814</v>
      </c>
      <c r="D58">
        <f t="shared" si="3"/>
        <v>1588.2221674649468</v>
      </c>
      <c r="E58" s="5">
        <f t="shared" si="4"/>
        <v>0.26880167936426608</v>
      </c>
      <c r="F58">
        <f t="shared" si="7"/>
        <v>0.27048944263625541</v>
      </c>
      <c r="G58">
        <f t="shared" si="5"/>
        <v>55.342139963377853</v>
      </c>
      <c r="H58" s="4">
        <f t="shared" si="6"/>
        <v>885</v>
      </c>
    </row>
    <row r="59" spans="1:8" x14ac:dyDescent="0.3">
      <c r="A59" s="4">
        <v>245</v>
      </c>
      <c r="B59">
        <f t="shared" si="2"/>
        <v>518.15</v>
      </c>
      <c r="C59">
        <f t="shared" si="8"/>
        <v>567.06578377043343</v>
      </c>
      <c r="D59">
        <f t="shared" si="3"/>
        <v>1591.1110262887103</v>
      </c>
      <c r="E59" s="5">
        <f t="shared" si="4"/>
        <v>0.24778719438292601</v>
      </c>
      <c r="F59">
        <f t="shared" si="7"/>
        <v>0.25040203291709001</v>
      </c>
      <c r="G59">
        <f t="shared" si="5"/>
        <v>51.232255934836616</v>
      </c>
      <c r="H59" s="4">
        <f t="shared" si="6"/>
        <v>820</v>
      </c>
    </row>
    <row r="60" spans="1:8" x14ac:dyDescent="0.3">
      <c r="A60" s="4">
        <v>250</v>
      </c>
      <c r="B60">
        <f t="shared" si="2"/>
        <v>523.15</v>
      </c>
      <c r="C60">
        <f t="shared" si="8"/>
        <v>599.80358284428496</v>
      </c>
      <c r="D60">
        <f t="shared" si="3"/>
        <v>1594.1093066960398</v>
      </c>
      <c r="E60" s="5">
        <f t="shared" si="4"/>
        <v>0.22880127167870812</v>
      </c>
      <c r="F60">
        <f t="shared" si="7"/>
        <v>0.23210640789416567</v>
      </c>
      <c r="G60">
        <f t="shared" si="5"/>
        <v>47.488971055146301</v>
      </c>
      <c r="H60" s="4">
        <f t="shared" si="6"/>
        <v>760</v>
      </c>
    </row>
    <row r="61" spans="1:8" x14ac:dyDescent="0.3">
      <c r="A61" s="4">
        <v>255</v>
      </c>
      <c r="B61">
        <f t="shared" si="2"/>
        <v>528.15</v>
      </c>
      <c r="C61">
        <f t="shared" si="8"/>
        <v>631.92152394078414</v>
      </c>
      <c r="D61">
        <f t="shared" si="3"/>
        <v>1597.2083772324854</v>
      </c>
      <c r="E61" s="5">
        <f t="shared" si="4"/>
        <v>0.21161728408469263</v>
      </c>
      <c r="F61">
        <f t="shared" si="7"/>
        <v>0.21542525795974013</v>
      </c>
      <c r="G61">
        <f t="shared" si="5"/>
        <v>44.076007778562833</v>
      </c>
      <c r="H61" s="4">
        <f t="shared" si="6"/>
        <v>705</v>
      </c>
    </row>
    <row r="62" spans="1:8" x14ac:dyDescent="0.3">
      <c r="A62" s="4">
        <v>260</v>
      </c>
      <c r="B62">
        <f t="shared" si="2"/>
        <v>533.15</v>
      </c>
      <c r="C62">
        <f t="shared" si="8"/>
        <v>663.43704656037278</v>
      </c>
      <c r="D62">
        <f t="shared" si="3"/>
        <v>1600.4001299312324</v>
      </c>
      <c r="E62" s="5">
        <f t="shared" si="4"/>
        <v>0.19603694818931938</v>
      </c>
      <c r="F62">
        <f t="shared" si="7"/>
        <v>0.20019962090136889</v>
      </c>
      <c r="G62">
        <f t="shared" si="5"/>
        <v>40.96084243642008</v>
      </c>
      <c r="H62" s="4">
        <f t="shared" si="6"/>
        <v>655</v>
      </c>
    </row>
    <row r="63" spans="1:8" x14ac:dyDescent="0.3">
      <c r="A63" s="4">
        <v>265</v>
      </c>
      <c r="B63">
        <f t="shared" si="2"/>
        <v>538.15</v>
      </c>
      <c r="C63">
        <f t="shared" si="8"/>
        <v>694.36694207562959</v>
      </c>
      <c r="D63">
        <f t="shared" si="3"/>
        <v>1603.6769499367956</v>
      </c>
      <c r="E63" s="5">
        <f t="shared" si="4"/>
        <v>0.18188643844932528</v>
      </c>
      <c r="F63">
        <f t="shared" si="7"/>
        <v>0.18628704368950808</v>
      </c>
      <c r="G63">
        <f t="shared" si="5"/>
        <v>38.114329138873352</v>
      </c>
      <c r="H63" s="4">
        <f t="shared" si="6"/>
        <v>610</v>
      </c>
    </row>
    <row r="64" spans="1:8" x14ac:dyDescent="0.3">
      <c r="A64" s="4">
        <v>270</v>
      </c>
      <c r="B64">
        <f t="shared" si="2"/>
        <v>543.15</v>
      </c>
      <c r="C64">
        <f t="shared" si="8"/>
        <v>724.72738356317348</v>
      </c>
      <c r="D64">
        <f t="shared" si="3"/>
        <v>1607.0316867810352</v>
      </c>
      <c r="E64" s="5">
        <f t="shared" si="4"/>
        <v>0.16901307679973449</v>
      </c>
      <c r="F64">
        <f t="shared" si="7"/>
        <v>0.17355989204985051</v>
      </c>
      <c r="G64">
        <f t="shared" si="5"/>
        <v>35.510353913399413</v>
      </c>
      <c r="H64" s="4">
        <f t="shared" si="6"/>
        <v>568</v>
      </c>
    </row>
    <row r="65" spans="1:8" x14ac:dyDescent="0.3">
      <c r="A65" s="4">
        <v>275</v>
      </c>
      <c r="B65">
        <f t="shared" si="2"/>
        <v>548.15</v>
      </c>
      <c r="C65">
        <f t="shared" si="8"/>
        <v>754.53395400287343</v>
      </c>
      <c r="D65">
        <f t="shared" si="3"/>
        <v>1610.457627239078</v>
      </c>
      <c r="E65" s="5">
        <f t="shared" si="4"/>
        <v>0.15728250668476457</v>
      </c>
      <c r="F65">
        <f t="shared" si="7"/>
        <v>0.1619038078064296</v>
      </c>
      <c r="G65">
        <f t="shared" si="5"/>
        <v>33.125519077195499</v>
      </c>
      <c r="H65" s="4">
        <f t="shared" si="6"/>
        <v>530</v>
      </c>
    </row>
    <row r="66" spans="1:8" x14ac:dyDescent="0.3">
      <c r="A66" s="4">
        <v>280</v>
      </c>
      <c r="B66">
        <f t="shared" si="2"/>
        <v>553.15</v>
      </c>
      <c r="C66">
        <f t="shared" si="8"/>
        <v>783.80167294768626</v>
      </c>
      <c r="D66">
        <f t="shared" si="3"/>
        <v>1613.9484696933841</v>
      </c>
      <c r="E66" s="5">
        <f t="shared" si="4"/>
        <v>0.1465762757070736</v>
      </c>
      <c r="F66">
        <f t="shared" si="7"/>
        <v>0.15121630958515081</v>
      </c>
      <c r="G66">
        <f t="shared" si="5"/>
        <v>30.938856941121855</v>
      </c>
      <c r="H66" s="4">
        <f t="shared" si="6"/>
        <v>495</v>
      </c>
    </row>
    <row r="67" spans="1:8" x14ac:dyDescent="0.3">
      <c r="A67" s="4">
        <v>285</v>
      </c>
      <c r="B67">
        <f t="shared" si="2"/>
        <v>558.15</v>
      </c>
      <c r="C67">
        <f t="shared" si="8"/>
        <v>812.54502176001108</v>
      </c>
      <c r="D67">
        <f t="shared" si="3"/>
        <v>1617.4982999352619</v>
      </c>
      <c r="E67" s="5">
        <f t="shared" si="4"/>
        <v>0.13678976367020568</v>
      </c>
      <c r="F67">
        <f t="shared" si="7"/>
        <v>0.14140552965280034</v>
      </c>
      <c r="G67">
        <f t="shared" si="5"/>
        <v>28.931571366962949</v>
      </c>
      <c r="H67" s="4">
        <f t="shared" si="6"/>
        <v>463</v>
      </c>
    </row>
    <row r="68" spans="1:8" x14ac:dyDescent="0.3">
      <c r="A68" s="4">
        <v>290</v>
      </c>
      <c r="B68">
        <f t="shared" si="2"/>
        <v>563.15</v>
      </c>
      <c r="C68">
        <f t="shared" si="8"/>
        <v>840.77796750366269</v>
      </c>
      <c r="D68">
        <f t="shared" si="3"/>
        <v>1621.1015683345124</v>
      </c>
      <c r="E68" s="5">
        <f t="shared" si="4"/>
        <v>0.12783040316838468</v>
      </c>
      <c r="F68">
        <f t="shared" si="7"/>
        <v>0.13238907800540464</v>
      </c>
      <c r="G68">
        <f t="shared" si="5"/>
        <v>27.086805359905792</v>
      </c>
      <c r="H68" s="4">
        <f t="shared" si="6"/>
        <v>433</v>
      </c>
    </row>
    <row r="69" spans="1:8" x14ac:dyDescent="0.3">
      <c r="A69" s="4">
        <v>295</v>
      </c>
      <c r="B69">
        <f t="shared" si="2"/>
        <v>568.15</v>
      </c>
      <c r="C69">
        <f t="shared" si="8"/>
        <v>868.5139855742766</v>
      </c>
      <c r="D69">
        <f t="shared" si="3"/>
        <v>1624.7530683095347</v>
      </c>
      <c r="E69" s="5">
        <f t="shared" si="4"/>
        <v>0.1196161484616107</v>
      </c>
      <c r="F69">
        <f t="shared" si="7"/>
        <v>0.12409302398469158</v>
      </c>
      <c r="G69">
        <f t="shared" si="5"/>
        <v>25.389432707267897</v>
      </c>
      <c r="H69" s="4">
        <f t="shared" si="6"/>
        <v>406</v>
      </c>
    </row>
    <row r="70" spans="1:8" x14ac:dyDescent="0.3">
      <c r="A70" s="4">
        <v>300</v>
      </c>
      <c r="B70">
        <f t="shared" si="2"/>
        <v>573.15</v>
      </c>
      <c r="C70">
        <f t="shared" si="8"/>
        <v>895.76608114518478</v>
      </c>
      <c r="D70">
        <f t="shared" si="3"/>
        <v>1628.4479160320936</v>
      </c>
      <c r="E70" s="5">
        <f t="shared" si="4"/>
        <v>0.11207415548770615</v>
      </c>
      <c r="F70">
        <f t="shared" si="7"/>
        <v>0.11645098544449525</v>
      </c>
      <c r="G70">
        <f t="shared" si="5"/>
        <v>23.82587162194373</v>
      </c>
      <c r="H70" s="4">
        <f t="shared" si="6"/>
        <v>381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xport_marlin_table_Steinhart">
                <anchor moveWithCells="1" sizeWithCells="1">
                  <from>
                    <xdr:col>11</xdr:col>
                    <xdr:colOff>502920</xdr:colOff>
                    <xdr:row>9</xdr:row>
                    <xdr:rowOff>83820</xdr:rowOff>
                  </from>
                  <to>
                    <xdr:col>13</xdr:col>
                    <xdr:colOff>502920</xdr:colOff>
                    <xdr:row>11</xdr:row>
                    <xdr:rowOff>22860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7"/>
  <sheetViews>
    <sheetView workbookViewId="0">
      <selection activeCell="L18" sqref="L18"/>
    </sheetView>
  </sheetViews>
  <sheetFormatPr defaultRowHeight="14.4" x14ac:dyDescent="0.3"/>
  <sheetData>
    <row r="1" spans="1:1" x14ac:dyDescent="0.3">
      <c r="A1" t="s">
        <v>63</v>
      </c>
    </row>
    <row r="2" spans="1:1" x14ac:dyDescent="0.3">
      <c r="A2" t="s">
        <v>65</v>
      </c>
    </row>
    <row r="3" spans="1:1" x14ac:dyDescent="0.3">
      <c r="A3" t="s">
        <v>64</v>
      </c>
    </row>
    <row r="4" spans="1:1" x14ac:dyDescent="0.3">
      <c r="A4" t="s">
        <v>66</v>
      </c>
    </row>
    <row r="5" spans="1:1" x14ac:dyDescent="0.3">
      <c r="A5" t="s">
        <v>67</v>
      </c>
    </row>
    <row r="6" spans="1:1" x14ac:dyDescent="0.3">
      <c r="A6" t="s">
        <v>70</v>
      </c>
    </row>
    <row r="7" spans="1:1" x14ac:dyDescent="0.3">
      <c r="A7" t="s">
        <v>69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Charts</vt:lpstr>
      </vt:variant>
      <vt:variant>
        <vt:i4>2</vt:i4>
      </vt:variant>
    </vt:vector>
  </HeadingPairs>
  <TitlesOfParts>
    <vt:vector size="8" baseType="lpstr">
      <vt:lpstr>1 ThermistorTableConversion</vt:lpstr>
      <vt:lpstr>1 Instructions &amp; example</vt:lpstr>
      <vt:lpstr>2 Thermistor from Beta</vt:lpstr>
      <vt:lpstr>2 Instructions &amp; Example</vt:lpstr>
      <vt:lpstr>3 Thermistor from SteinhartHart</vt:lpstr>
      <vt:lpstr>3 Instructions and examples</vt:lpstr>
      <vt:lpstr>Comparison Chart</vt:lpstr>
      <vt:lpstr>Comparison Chart (2)</vt:lpstr>
    </vt:vector>
  </TitlesOfParts>
  <Company>Ausenco</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Shaun Saggers</dc:creator>
  <cp:lastModifiedBy>Shaun</cp:lastModifiedBy>
  <dcterms:created xsi:type="dcterms:W3CDTF">2013-06-13T00:56:14Z</dcterms:created>
  <dcterms:modified xsi:type="dcterms:W3CDTF">2013-06-14T12:31:08Z</dcterms:modified>
</cp:coreProperties>
</file>